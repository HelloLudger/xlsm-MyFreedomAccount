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75" windowWidth="11340" windowHeight="6480" tabRatio="553"/>
  </bookViews>
  <sheets>
    <sheet name="Overview" sheetId="15" r:id="rId1"/>
    <sheet name="Prototype" sheetId="37" state="hidden" r:id="rId2"/>
  </sheets>
  <definedNames>
    <definedName name="_xlnm.Print_Area" localSheetId="1">Prototype!$B$1:$E$65</definedName>
    <definedName name="varfornames" comment="This name is needed to automatically get the names of the subaccounts.">GET.WORKBOOK(1+0*NOW())</definedName>
  </definedNames>
  <calcPr calcId="145621"/>
</workbook>
</file>

<file path=xl/calcChain.xml><?xml version="1.0" encoding="utf-8"?>
<calcChain xmlns="http://schemas.openxmlformats.org/spreadsheetml/2006/main">
  <c r="E18" i="37" l="1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3" i="37"/>
  <c r="E82" i="37"/>
  <c r="E81" i="37"/>
  <c r="E80" i="37"/>
  <c r="E79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61" i="37"/>
  <c r="E60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3" i="37"/>
  <c r="E42" i="37"/>
  <c r="E41" i="37"/>
  <c r="E40" i="37"/>
  <c r="E39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20" i="37"/>
  <c r="E21" i="37" s="1"/>
  <c r="E22" i="37" s="1"/>
  <c r="E19" i="37"/>
  <c r="D12" i="37"/>
  <c r="D2" i="37"/>
  <c r="B18" i="15"/>
  <c r="B36" i="15"/>
  <c r="B22" i="15"/>
  <c r="B40" i="15"/>
  <c r="B26" i="15"/>
  <c r="B21" i="15"/>
  <c r="B24" i="15"/>
  <c r="B32" i="15"/>
  <c r="B34" i="15"/>
  <c r="B29" i="15"/>
  <c r="B38" i="15"/>
  <c r="B33" i="15"/>
  <c r="B19" i="15"/>
  <c r="B37" i="15"/>
  <c r="B17" i="15"/>
  <c r="B28" i="15"/>
  <c r="B27" i="15"/>
  <c r="B39" i="15"/>
  <c r="B31" i="15"/>
  <c r="B23" i="15"/>
  <c r="B35" i="15"/>
  <c r="B30" i="15"/>
  <c r="B20" i="15"/>
  <c r="B25" i="15"/>
  <c r="D25" i="15" l="1"/>
  <c r="D30" i="15"/>
  <c r="D37" i="15"/>
  <c r="D21" i="15"/>
  <c r="D28" i="15"/>
  <c r="D35" i="15"/>
  <c r="D26" i="15"/>
  <c r="D32" i="15"/>
  <c r="D23" i="15"/>
  <c r="D33" i="15"/>
  <c r="D40" i="15"/>
  <c r="D24" i="15"/>
  <c r="D31" i="15"/>
  <c r="D38" i="15"/>
  <c r="D22" i="15"/>
  <c r="D39" i="15"/>
  <c r="D29" i="15"/>
  <c r="D36" i="15"/>
  <c r="D27" i="15"/>
  <c r="D34" i="15"/>
  <c r="C25" i="15"/>
  <c r="C30" i="15"/>
  <c r="C37" i="15"/>
  <c r="C21" i="15"/>
  <c r="C28" i="15"/>
  <c r="C35" i="15"/>
  <c r="C26" i="15"/>
  <c r="C32" i="15"/>
  <c r="C23" i="15"/>
  <c r="C33" i="15"/>
  <c r="C40" i="15"/>
  <c r="C24" i="15"/>
  <c r="C31" i="15"/>
  <c r="C38" i="15"/>
  <c r="C22" i="15"/>
  <c r="C39" i="15"/>
  <c r="C29" i="15"/>
  <c r="C36" i="15"/>
  <c r="C27" i="15"/>
  <c r="C34" i="15"/>
  <c r="E37" i="15"/>
  <c r="E33" i="15"/>
  <c r="E29" i="15"/>
  <c r="E25" i="15"/>
  <c r="E21" i="15"/>
  <c r="E40" i="15"/>
  <c r="E36" i="15"/>
  <c r="E32" i="15"/>
  <c r="E28" i="15"/>
  <c r="E24" i="15"/>
  <c r="E39" i="15"/>
  <c r="E35" i="15"/>
  <c r="E31" i="15"/>
  <c r="E27" i="15"/>
  <c r="E23" i="15"/>
  <c r="E38" i="15"/>
  <c r="E34" i="15"/>
  <c r="E30" i="15"/>
  <c r="E26" i="15"/>
  <c r="E22" i="15"/>
  <c r="A37" i="15"/>
  <c r="A33" i="15"/>
  <c r="A29" i="15"/>
  <c r="A25" i="15"/>
  <c r="A21" i="15"/>
  <c r="A40" i="15"/>
  <c r="A36" i="15"/>
  <c r="A32" i="15"/>
  <c r="A28" i="15"/>
  <c r="A24" i="15"/>
  <c r="A39" i="15"/>
  <c r="A35" i="15"/>
  <c r="A31" i="15"/>
  <c r="A27" i="15"/>
  <c r="A23" i="15"/>
  <c r="A38" i="15"/>
  <c r="A34" i="15"/>
  <c r="A30" i="15"/>
  <c r="A26" i="15"/>
  <c r="A22" i="15"/>
  <c r="D14" i="37"/>
  <c r="D19" i="15"/>
  <c r="D20" i="15"/>
  <c r="C19" i="15"/>
  <c r="C20" i="15"/>
  <c r="E20" i="15"/>
  <c r="E19" i="15"/>
  <c r="D18" i="15"/>
  <c r="E18" i="15"/>
  <c r="C18" i="15"/>
  <c r="E17" i="15"/>
  <c r="D17" i="15"/>
  <c r="C17" i="15"/>
  <c r="A18" i="15" l="1"/>
  <c r="A19" i="15" s="1"/>
  <c r="A20" i="15" s="1"/>
  <c r="D14" i="15" l="1"/>
  <c r="D12" i="15"/>
  <c r="D13" i="15"/>
</calcChain>
</file>

<file path=xl/sharedStrings.xml><?xml version="1.0" encoding="utf-8"?>
<sst xmlns="http://schemas.openxmlformats.org/spreadsheetml/2006/main" count="23" uniqueCount="20">
  <si>
    <t>DATE</t>
  </si>
  <si>
    <t>DESCRIPTION</t>
  </si>
  <si>
    <t>BALANCE</t>
  </si>
  <si>
    <t>STARTING BALANCE</t>
  </si>
  <si>
    <t>Subaccount Title</t>
  </si>
  <si>
    <t>Balance</t>
  </si>
  <si>
    <t>Last Update</t>
  </si>
  <si>
    <t>#</t>
  </si>
  <si>
    <t>CHANGE</t>
  </si>
  <si>
    <t xml:space="preserve">ACCOUNT TITLE:          </t>
  </si>
  <si>
    <t xml:space="preserve">HOLDING INSTITUTION:          </t>
  </si>
  <si>
    <t xml:space="preserve">ACCOUNT NUMBER:          </t>
  </si>
  <si>
    <t xml:space="preserve">NOTES:          </t>
  </si>
  <si>
    <t xml:space="preserve">Last Updated:          </t>
  </si>
  <si>
    <t xml:space="preserve">Total Account Balance:          </t>
  </si>
  <si>
    <t xml:space="preserve">Sum of Downpayments:          </t>
  </si>
  <si>
    <t>Downpayment</t>
  </si>
  <si>
    <t xml:space="preserve">SUBACCOUNT NAME:          </t>
  </si>
  <si>
    <t xml:space="preserve">Downpayment:          </t>
  </si>
  <si>
    <t>This is the empty prototype.
Please add the starting balance and the (probably) mothly downpayment.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</si>
</sst>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164" formatCode="&quot;$&quot;#,##0.00_);[Red]\(&quot;$&quot;#,##0.00\)"/>
    <numFmt numFmtId="165" formatCode="#,##0.00\ &quot;€&quot;"/>
    <numFmt numFmtId="166" formatCode="#,##0\ &quot;€&quot;"/>
  </numFmts>
  <fonts count="10" x14ac:knownFonts="1">
    <font>
      <sz val="10"/>
      <name val="Arial"/>
    </font>
    <font>
      <sz val="11"/>
      <name val="Arial"/>
      <family val="2"/>
    </font>
    <font>
      <b/>
      <sz val="11"/>
      <name val="Arial"/>
      <family val="2"/>
    </font>
    <font>
      <sz val="11"/>
      <color indexed="10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22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/>
      <top/>
      <bottom style="thick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1" fillId="2" borderId="0" xfId="0" applyFont="1" applyFill="1" applyBorder="1" applyAlignment="1" applyProtection="1">
      <alignment vertical="top"/>
    </xf>
    <xf numFmtId="0" fontId="1" fillId="2" borderId="0" xfId="0" applyFont="1" applyFill="1" applyBorder="1" applyAlignment="1" applyProtection="1">
      <alignment horizontal="center" vertical="top"/>
    </xf>
    <xf numFmtId="0" fontId="2" fillId="2" borderId="0" xfId="0" applyFont="1" applyFill="1" applyBorder="1" applyAlignment="1" applyProtection="1">
      <alignment horizontal="right" vertical="top"/>
    </xf>
    <xf numFmtId="49" fontId="1" fillId="2" borderId="0" xfId="0" applyNumberFormat="1" applyFont="1" applyFill="1" applyBorder="1" applyAlignment="1" applyProtection="1">
      <alignment horizontal="center" vertical="top"/>
    </xf>
    <xf numFmtId="164" fontId="1" fillId="2" borderId="0" xfId="0" applyNumberFormat="1" applyFont="1" applyFill="1" applyBorder="1" applyAlignment="1" applyProtection="1">
      <alignment horizontal="center" vertical="top"/>
    </xf>
    <xf numFmtId="0" fontId="4" fillId="4" borderId="1" xfId="0" applyFont="1" applyFill="1" applyBorder="1" applyAlignment="1" applyProtection="1">
      <alignment horizontal="right" vertical="top"/>
    </xf>
    <xf numFmtId="0" fontId="1" fillId="4" borderId="1" xfId="0" applyFont="1" applyFill="1" applyBorder="1" applyAlignment="1" applyProtection="1">
      <alignment vertical="top"/>
    </xf>
    <xf numFmtId="0" fontId="4" fillId="4" borderId="1" xfId="0" applyFont="1" applyFill="1" applyBorder="1" applyAlignment="1" applyProtection="1">
      <alignment horizontal="center" vertical="top"/>
    </xf>
    <xf numFmtId="166" fontId="1" fillId="2" borderId="0" xfId="0" applyNumberFormat="1" applyFont="1" applyFill="1" applyBorder="1" applyAlignment="1" applyProtection="1">
      <alignment horizontal="center" vertical="top"/>
    </xf>
    <xf numFmtId="0" fontId="1" fillId="0" borderId="0" xfId="0" applyFont="1" applyFill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2" fillId="0" borderId="0" xfId="0" applyFont="1" applyFill="1" applyAlignment="1" applyProtection="1">
      <alignment horizontal="center" vertical="top"/>
    </xf>
    <xf numFmtId="14" fontId="1" fillId="0" borderId="0" xfId="0" applyNumberFormat="1" applyFont="1" applyFill="1" applyBorder="1" applyAlignment="1" applyProtection="1">
      <alignment horizontal="right" vertical="top"/>
    </xf>
    <xf numFmtId="165" fontId="3" fillId="0" borderId="0" xfId="0" applyNumberFormat="1" applyFont="1" applyFill="1" applyBorder="1" applyAlignment="1" applyProtection="1">
      <alignment horizontal="right" vertical="top"/>
    </xf>
    <xf numFmtId="14" fontId="1" fillId="2" borderId="0" xfId="0" applyNumberFormat="1" applyFont="1" applyFill="1" applyBorder="1" applyAlignment="1" applyProtection="1">
      <alignment horizontal="right" vertical="top"/>
    </xf>
    <xf numFmtId="165" fontId="3" fillId="2" borderId="0" xfId="0" applyNumberFormat="1" applyFont="1" applyFill="1" applyBorder="1" applyAlignment="1" applyProtection="1">
      <alignment horizontal="right" vertical="top"/>
    </xf>
    <xf numFmtId="14" fontId="6" fillId="2" borderId="0" xfId="1" applyNumberFormat="1" applyFont="1" applyFill="1" applyBorder="1" applyAlignment="1" applyProtection="1">
      <alignment horizontal="center" vertical="center"/>
    </xf>
    <xf numFmtId="165" fontId="2" fillId="2" borderId="0" xfId="0" applyNumberFormat="1" applyFont="1" applyFill="1" applyBorder="1" applyAlignment="1" applyProtection="1">
      <alignment horizontal="right" vertical="top"/>
    </xf>
    <xf numFmtId="14" fontId="2" fillId="2" borderId="0" xfId="0" applyNumberFormat="1" applyFont="1" applyFill="1" applyBorder="1" applyAlignment="1" applyProtection="1">
      <alignment horizontal="right" vertical="top"/>
    </xf>
    <xf numFmtId="165" fontId="2" fillId="0" borderId="0" xfId="0" applyNumberFormat="1" applyFont="1" applyFill="1" applyBorder="1" applyAlignment="1" applyProtection="1">
      <alignment horizontal="right" vertical="top"/>
    </xf>
    <xf numFmtId="0" fontId="5" fillId="0" borderId="0" xfId="0" applyFont="1" applyFill="1" applyBorder="1" applyAlignment="1" applyProtection="1">
      <alignment horizontal="left" vertical="top"/>
    </xf>
    <xf numFmtId="8" fontId="5" fillId="0" borderId="0" xfId="0" applyNumberFormat="1" applyFont="1" applyFill="1" applyBorder="1" applyAlignment="1" applyProtection="1">
      <alignment horizontal="right" vertical="top"/>
    </xf>
    <xf numFmtId="0" fontId="1" fillId="6" borderId="2" xfId="0" applyFont="1" applyFill="1" applyBorder="1" applyAlignment="1" applyProtection="1">
      <alignment vertical="top"/>
    </xf>
    <xf numFmtId="0" fontId="1" fillId="6" borderId="4" xfId="0" applyFont="1" applyFill="1" applyBorder="1" applyAlignment="1" applyProtection="1">
      <alignment vertical="top"/>
    </xf>
    <xf numFmtId="14" fontId="5" fillId="6" borderId="5" xfId="0" applyNumberFormat="1" applyFont="1" applyFill="1" applyBorder="1" applyAlignment="1" applyProtection="1">
      <alignment horizontal="center" vertical="top"/>
      <protection locked="0"/>
    </xf>
    <xf numFmtId="0" fontId="5" fillId="6" borderId="6" xfId="0" applyFont="1" applyFill="1" applyBorder="1" applyAlignment="1" applyProtection="1">
      <alignment horizontal="left" vertical="top"/>
      <protection locked="0"/>
    </xf>
    <xf numFmtId="8" fontId="5" fillId="6" borderId="6" xfId="0" applyNumberFormat="1" applyFont="1" applyFill="1" applyBorder="1" applyAlignment="1" applyProtection="1">
      <alignment horizontal="right" vertical="top"/>
      <protection locked="0"/>
    </xf>
    <xf numFmtId="8" fontId="5" fillId="6" borderId="7" xfId="0" applyNumberFormat="1" applyFont="1" applyFill="1" applyBorder="1" applyAlignment="1" applyProtection="1">
      <alignment horizontal="right" vertical="top"/>
    </xf>
    <xf numFmtId="0" fontId="5" fillId="6" borderId="5" xfId="0" applyFont="1" applyFill="1" applyBorder="1" applyAlignment="1" applyProtection="1">
      <alignment horizontal="center" vertical="top"/>
      <protection locked="0"/>
    </xf>
    <xf numFmtId="0" fontId="5" fillId="6" borderId="8" xfId="0" applyFont="1" applyFill="1" applyBorder="1" applyAlignment="1" applyProtection="1">
      <alignment horizontal="center" vertical="top"/>
      <protection locked="0"/>
    </xf>
    <xf numFmtId="0" fontId="5" fillId="6" borderId="9" xfId="0" applyFont="1" applyFill="1" applyBorder="1" applyAlignment="1" applyProtection="1">
      <alignment horizontal="left" vertical="top"/>
      <protection locked="0"/>
    </xf>
    <xf numFmtId="8" fontId="5" fillId="6" borderId="9" xfId="0" applyNumberFormat="1" applyFont="1" applyFill="1" applyBorder="1" applyAlignment="1" applyProtection="1">
      <alignment horizontal="right" vertical="top"/>
      <protection locked="0"/>
    </xf>
    <xf numFmtId="8" fontId="5" fillId="6" borderId="10" xfId="0" applyNumberFormat="1" applyFont="1" applyFill="1" applyBorder="1" applyAlignment="1" applyProtection="1">
      <alignment horizontal="right" vertical="top"/>
    </xf>
    <xf numFmtId="0" fontId="1" fillId="6" borderId="3" xfId="0" applyFont="1" applyFill="1" applyBorder="1" applyAlignment="1" applyProtection="1">
      <alignment vertical="top"/>
    </xf>
    <xf numFmtId="0" fontId="5" fillId="6" borderId="12" xfId="0" applyFont="1" applyFill="1" applyBorder="1" applyAlignment="1" applyProtection="1">
      <alignment horizontal="left" vertical="top"/>
    </xf>
    <xf numFmtId="0" fontId="2" fillId="4" borderId="1" xfId="0" applyFont="1" applyFill="1" applyBorder="1" applyAlignment="1" applyProtection="1">
      <alignment horizontal="center" vertical="top"/>
    </xf>
    <xf numFmtId="0" fontId="4" fillId="4" borderId="14" xfId="0" applyFont="1" applyFill="1" applyBorder="1" applyAlignment="1" applyProtection="1">
      <alignment horizontal="center" vertical="top"/>
    </xf>
    <xf numFmtId="0" fontId="4" fillId="4" borderId="15" xfId="0" applyFont="1" applyFill="1" applyBorder="1" applyAlignment="1" applyProtection="1">
      <alignment horizontal="center" vertical="top"/>
    </xf>
    <xf numFmtId="0" fontId="4" fillId="4" borderId="16" xfId="0" applyFont="1" applyFill="1" applyBorder="1" applyAlignment="1" applyProtection="1">
      <alignment horizontal="center" vertical="top"/>
    </xf>
    <xf numFmtId="0" fontId="1" fillId="0" borderId="0" xfId="0" applyFont="1" applyFill="1" applyBorder="1" applyAlignment="1" applyProtection="1">
      <alignment horizontal="center" vertical="top"/>
    </xf>
    <xf numFmtId="14" fontId="1" fillId="6" borderId="3" xfId="0" applyNumberFormat="1" applyFont="1" applyFill="1" applyBorder="1" applyAlignment="1" applyProtection="1">
      <alignment horizontal="right" vertical="top"/>
    </xf>
    <xf numFmtId="14" fontId="1" fillId="6" borderId="2" xfId="0" applyNumberFormat="1" applyFont="1" applyFill="1" applyBorder="1" applyAlignment="1" applyProtection="1">
      <alignment horizontal="right" vertical="top"/>
    </xf>
    <xf numFmtId="0" fontId="5" fillId="6" borderId="11" xfId="0" applyFont="1" applyFill="1" applyBorder="1" applyAlignment="1" applyProtection="1">
      <alignment horizontal="left" vertical="top"/>
    </xf>
    <xf numFmtId="166" fontId="5" fillId="6" borderId="12" xfId="0" applyNumberFormat="1" applyFont="1" applyFill="1" applyBorder="1" applyAlignment="1" applyProtection="1">
      <alignment horizontal="right" vertical="top"/>
    </xf>
    <xf numFmtId="166" fontId="5" fillId="6" borderId="6" xfId="0" applyNumberFormat="1" applyFont="1" applyFill="1" applyBorder="1" applyAlignment="1" applyProtection="1">
      <alignment horizontal="right" vertical="top"/>
    </xf>
    <xf numFmtId="14" fontId="5" fillId="6" borderId="11" xfId="0" applyNumberFormat="1" applyFont="1" applyFill="1" applyBorder="1" applyAlignment="1" applyProtection="1">
      <alignment horizontal="center" vertical="top"/>
    </xf>
    <xf numFmtId="8" fontId="5" fillId="6" borderId="12" xfId="0" applyNumberFormat="1" applyFont="1" applyFill="1" applyBorder="1" applyAlignment="1" applyProtection="1">
      <alignment horizontal="right" vertical="top"/>
    </xf>
    <xf numFmtId="0" fontId="5" fillId="0" borderId="0" xfId="0" applyFont="1" applyFill="1" applyBorder="1" applyAlignment="1" applyProtection="1">
      <alignment horizontal="center" vertical="top"/>
    </xf>
    <xf numFmtId="8" fontId="5" fillId="6" borderId="13" xfId="0" applyNumberFormat="1" applyFont="1" applyFill="1" applyBorder="1" applyAlignment="1" applyProtection="1">
      <alignment horizontal="right" vertical="top"/>
      <protection locked="0"/>
    </xf>
    <xf numFmtId="166" fontId="5" fillId="6" borderId="11" xfId="0" applyNumberFormat="1" applyFont="1" applyFill="1" applyBorder="1" applyAlignment="1" applyProtection="1">
      <alignment horizontal="right" vertical="top"/>
    </xf>
    <xf numFmtId="0" fontId="1" fillId="6" borderId="3" xfId="0" applyFont="1" applyFill="1" applyBorder="1" applyAlignment="1" applyProtection="1">
      <alignment horizontal="center" vertical="top"/>
    </xf>
    <xf numFmtId="0" fontId="1" fillId="6" borderId="2" xfId="0" applyFont="1" applyFill="1" applyBorder="1" applyAlignment="1" applyProtection="1">
      <alignment horizontal="center" vertical="top"/>
    </xf>
    <xf numFmtId="14" fontId="1" fillId="2" borderId="0" xfId="0" applyNumberFormat="1" applyFont="1" applyFill="1" applyBorder="1" applyAlignment="1" applyProtection="1">
      <alignment vertical="top"/>
    </xf>
    <xf numFmtId="166" fontId="1" fillId="7" borderId="19" xfId="0" applyNumberFormat="1" applyFont="1" applyFill="1" applyBorder="1" applyAlignment="1" applyProtection="1">
      <alignment horizontal="center" vertical="top"/>
    </xf>
    <xf numFmtId="166" fontId="1" fillId="7" borderId="17" xfId="0" applyNumberFormat="1" applyFont="1" applyFill="1" applyBorder="1" applyAlignment="1" applyProtection="1">
      <alignment horizontal="center" vertical="top"/>
    </xf>
    <xf numFmtId="49" fontId="1" fillId="3" borderId="0" xfId="0" applyNumberFormat="1" applyFont="1" applyFill="1" applyBorder="1" applyAlignment="1" applyProtection="1">
      <alignment horizontal="right" vertical="top" wrapText="1"/>
      <protection locked="0"/>
    </xf>
    <xf numFmtId="49" fontId="1" fillId="3" borderId="0" xfId="0" applyNumberFormat="1" applyFont="1" applyFill="1" applyBorder="1" applyAlignment="1" applyProtection="1">
      <alignment horizontal="center" vertical="top"/>
      <protection locked="0"/>
    </xf>
    <xf numFmtId="49" fontId="1" fillId="3" borderId="17" xfId="0" applyNumberFormat="1" applyFont="1" applyFill="1" applyBorder="1" applyAlignment="1" applyProtection="1">
      <alignment horizontal="center" vertical="top"/>
      <protection locked="0"/>
    </xf>
    <xf numFmtId="14" fontId="1" fillId="7" borderId="18" xfId="0" applyNumberFormat="1" applyFont="1" applyFill="1" applyBorder="1" applyAlignment="1" applyProtection="1">
      <alignment horizontal="center" vertical="top"/>
    </xf>
    <xf numFmtId="0" fontId="1" fillId="5" borderId="0" xfId="0" applyFont="1" applyFill="1" applyBorder="1" applyAlignment="1" applyProtection="1">
      <alignment horizontal="center" vertical="top"/>
    </xf>
    <xf numFmtId="165" fontId="1" fillId="3" borderId="0" xfId="0" applyNumberFormat="1" applyFont="1" applyFill="1" applyBorder="1" applyAlignment="1" applyProtection="1">
      <alignment horizontal="center" vertical="top"/>
      <protection locked="0"/>
    </xf>
    <xf numFmtId="14" fontId="1" fillId="5" borderId="0" xfId="0" applyNumberFormat="1" applyFont="1" applyFill="1" applyBorder="1" applyAlignment="1" applyProtection="1">
      <alignment horizontal="center" vertical="top"/>
    </xf>
    <xf numFmtId="165" fontId="1" fillId="5" borderId="0" xfId="0" applyNumberFormat="1" applyFont="1" applyFill="1" applyBorder="1" applyAlignment="1" applyProtection="1">
      <alignment horizontal="center" vertical="top"/>
    </xf>
    <xf numFmtId="0" fontId="1" fillId="3" borderId="0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1104900</xdr:colOff>
          <xdr:row>6</xdr:row>
          <xdr:rowOff>38100</xdr:rowOff>
        </xdr:to>
        <xdr:grpSp>
          <xdr:nvGrpSpPr>
            <xdr:cNvPr id="2" name="Gruppieren 1"/>
            <xdr:cNvGrpSpPr/>
          </xdr:nvGrpSpPr>
          <xdr:grpSpPr>
            <a:xfrm>
              <a:off x="714375" y="571500"/>
              <a:ext cx="1104900" cy="609600"/>
              <a:chOff x="552450" y="790575"/>
              <a:chExt cx="1104900" cy="609600"/>
            </a:xfrm>
          </xdr:grpSpPr>
          <xdr:sp macro="" textlink="">
            <xdr:nvSpPr>
              <xdr:cNvPr id="13313" name="Button 1" hidden="1">
                <a:extLst>
                  <a:ext uri="{63B3BB69-23CF-44E3-9099-C40C66FF867C}">
                    <a14:compatExt spid="_x0000_s13313"/>
                  </a:ext>
                </a:extLst>
              </xdr:cNvPr>
              <xdr:cNvSpPr/>
            </xdr:nvSpPr>
            <xdr:spPr>
              <a:xfrm>
                <a:off x="552450" y="1114425"/>
                <a:ext cx="1104900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de-DE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Help &amp; Info</a:t>
                </a:r>
              </a:p>
            </xdr:txBody>
          </xdr:sp>
          <xdr:grpSp>
            <xdr:nvGrpSpPr>
              <xdr:cNvPr id="4" name="Gruppieren 3"/>
              <xdr:cNvGrpSpPr/>
            </xdr:nvGrpSpPr>
            <xdr:grpSpPr>
              <a:xfrm>
                <a:off x="552450" y="790575"/>
                <a:ext cx="1104900" cy="285750"/>
                <a:chOff x="552450" y="790575"/>
                <a:chExt cx="1104900" cy="285750"/>
              </a:xfrm>
            </xdr:grpSpPr>
            <xdr:sp macro="" textlink="">
              <xdr:nvSpPr>
                <xdr:cNvPr id="13314" name="Button 2" hidden="1">
                  <a:extLst>
                    <a:ext uri="{63B3BB69-23CF-44E3-9099-C40C66FF867C}">
                      <a14:compatExt spid="_x0000_s13314"/>
                    </a:ext>
                  </a:extLst>
                </xdr:cNvPr>
                <xdr:cNvSpPr/>
              </xdr:nvSpPr>
              <xdr:spPr>
                <a:xfrm>
                  <a:off x="923925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⌂</a:t>
                  </a:r>
                </a:p>
              </xdr:txBody>
            </xdr:sp>
            <xdr:sp macro="" textlink="">
              <xdr:nvSpPr>
                <xdr:cNvPr id="13315" name="Button 3" hidden="1">
                  <a:extLst>
                    <a:ext uri="{63B3BB69-23CF-44E3-9099-C40C66FF867C}">
                      <a14:compatExt spid="_x0000_s13315"/>
                    </a:ext>
                  </a:extLst>
                </xdr:cNvPr>
                <xdr:cNvSpPr/>
              </xdr:nvSpPr>
              <xdr:spPr>
                <a:xfrm>
                  <a:off x="55245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←</a:t>
                  </a:r>
                </a:p>
              </xdr:txBody>
            </xdr:sp>
            <xdr:sp macro="" textlink="">
              <xdr:nvSpPr>
                <xdr:cNvPr id="13316" name="Button 4" hidden="1">
                  <a:extLst>
                    <a:ext uri="{63B3BB69-23CF-44E3-9099-C40C66FF867C}">
                      <a14:compatExt spid="_x0000_s13316"/>
                    </a:ext>
                  </a:extLst>
                </xdr:cNvPr>
                <xdr:cNvSpPr/>
              </xdr:nvSpPr>
              <xdr:spPr>
                <a:xfrm>
                  <a:off x="129540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→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76200</xdr:rowOff>
        </xdr:from>
        <xdr:to>
          <xdr:col>1</xdr:col>
          <xdr:colOff>1104900</xdr:colOff>
          <xdr:row>7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Sub-Account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19050</xdr:rowOff>
        </xdr:from>
        <xdr:to>
          <xdr:col>1</xdr:col>
          <xdr:colOff>1104900</xdr:colOff>
          <xdr:row>9</xdr:row>
          <xdr:rowOff>114300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Pay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57150</xdr:colOff>
          <xdr:row>6</xdr:row>
          <xdr:rowOff>38100</xdr:rowOff>
        </xdr:to>
        <xdr:grpSp>
          <xdr:nvGrpSpPr>
            <xdr:cNvPr id="2" name="Gruppieren 1"/>
            <xdr:cNvGrpSpPr/>
          </xdr:nvGrpSpPr>
          <xdr:grpSpPr>
            <a:xfrm>
              <a:off x="714375" y="571500"/>
              <a:ext cx="1104900" cy="609600"/>
              <a:chOff x="552450" y="790575"/>
              <a:chExt cx="1104900" cy="609600"/>
            </a:xfrm>
          </xdr:grpSpPr>
          <xdr:sp macro="" textlink="">
            <xdr:nvSpPr>
              <xdr:cNvPr id="14337" name="Button 1" hidden="1">
                <a:extLst>
                  <a:ext uri="{63B3BB69-23CF-44E3-9099-C40C66FF867C}">
                    <a14:compatExt spid="_x0000_s14337"/>
                  </a:ext>
                </a:extLst>
              </xdr:cNvPr>
              <xdr:cNvSpPr/>
            </xdr:nvSpPr>
            <xdr:spPr>
              <a:xfrm>
                <a:off x="552450" y="1114425"/>
                <a:ext cx="1104900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de-DE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Pay Now</a:t>
                </a:r>
              </a:p>
            </xdr:txBody>
          </xdr:sp>
          <xdr:grpSp>
            <xdr:nvGrpSpPr>
              <xdr:cNvPr id="4" name="Gruppieren 3"/>
              <xdr:cNvGrpSpPr/>
            </xdr:nvGrpSpPr>
            <xdr:grpSpPr>
              <a:xfrm>
                <a:off x="552450" y="790575"/>
                <a:ext cx="1104900" cy="285750"/>
                <a:chOff x="552450" y="790575"/>
                <a:chExt cx="1104900" cy="285750"/>
              </a:xfrm>
            </xdr:grpSpPr>
            <xdr:sp macro="" textlink="">
              <xdr:nvSpPr>
                <xdr:cNvPr id="14338" name="Button 2" hidden="1">
                  <a:extLst>
                    <a:ext uri="{63B3BB69-23CF-44E3-9099-C40C66FF867C}">
                      <a14:compatExt spid="_x0000_s14338"/>
                    </a:ext>
                  </a:extLst>
                </xdr:cNvPr>
                <xdr:cNvSpPr/>
              </xdr:nvSpPr>
              <xdr:spPr>
                <a:xfrm>
                  <a:off x="923925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⌂</a:t>
                  </a:r>
                </a:p>
              </xdr:txBody>
            </xdr:sp>
            <xdr:sp macro="" textlink="">
              <xdr:nvSpPr>
                <xdr:cNvPr id="14339" name="Button 3" hidden="1">
                  <a:extLst>
                    <a:ext uri="{63B3BB69-23CF-44E3-9099-C40C66FF867C}">
                      <a14:compatExt spid="_x0000_s14339"/>
                    </a:ext>
                  </a:extLst>
                </xdr:cNvPr>
                <xdr:cNvSpPr/>
              </xdr:nvSpPr>
              <xdr:spPr>
                <a:xfrm>
                  <a:off x="55245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←</a:t>
                  </a:r>
                </a:p>
              </xdr:txBody>
            </xdr:sp>
            <xdr:sp macro="" textlink="">
              <xdr:nvSpPr>
                <xdr:cNvPr id="14340" name="Button 4" hidden="1">
                  <a:extLst>
                    <a:ext uri="{63B3BB69-23CF-44E3-9099-C40C66FF867C}">
                      <a14:compatExt spid="_x0000_s14340"/>
                    </a:ext>
                  </a:extLst>
                </xdr:cNvPr>
                <xdr:cNvSpPr/>
              </xdr:nvSpPr>
              <xdr:spPr>
                <a:xfrm>
                  <a:off x="1295400" y="790575"/>
                  <a:ext cx="361950" cy="285750"/>
                </a:xfrm>
                <a:prstGeom prst="rect">
                  <a:avLst/>
                </a:prstGeom>
              </xdr:spPr>
              <xdr:txBody>
                <a:bodyPr vertOverflow="clip" wrap="square" lIns="0" tIns="0" rIns="0" bIns="0" anchor="b" upright="1"/>
                <a:lstStyle/>
                <a:p>
                  <a:pPr algn="ctr" rtl="0">
                    <a:defRPr sz="1000"/>
                  </a:pPr>
                  <a:r>
                    <a:rPr lang="de-DE" sz="2200" b="1" i="0" u="none" strike="noStrike" baseline="0">
                      <a:solidFill>
                        <a:srgbClr val="000000"/>
                      </a:solidFill>
                      <a:latin typeface="Arial"/>
                      <a:cs typeface="Arial"/>
                    </a:rPr>
                    <a:t>→</a:t>
                  </a:r>
                </a:p>
              </xdr:txBody>
            </xdr:sp>
          </xdr:grp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0000"/>
  </sheetPr>
  <dimension ref="A1:F40"/>
  <sheetViews>
    <sheetView showGridLines="0" tabSelected="1" zoomScaleNormal="100" zoomScalePageLayoutView="85" workbookViewId="0">
      <selection activeCell="D6" sqref="D6:E10"/>
    </sheetView>
  </sheetViews>
  <sheetFormatPr baseColWidth="10" defaultColWidth="9.140625" defaultRowHeight="15" customHeight="1" x14ac:dyDescent="0.2"/>
  <cols>
    <col min="1" max="1" width="10.7109375" style="11" customWidth="1"/>
    <col min="2" max="2" width="36.7109375" style="11" customWidth="1"/>
    <col min="3" max="3" width="15.7109375" style="11" customWidth="1"/>
    <col min="4" max="4" width="12.7109375" style="40" customWidth="1"/>
    <col min="5" max="5" width="20.7109375" style="11" customWidth="1"/>
    <col min="6" max="6" width="10.7109375" style="11" customWidth="1"/>
    <col min="7" max="16384" width="9.140625" style="11"/>
  </cols>
  <sheetData>
    <row r="1" spans="1:6" ht="15" customHeight="1" x14ac:dyDescent="0.2">
      <c r="A1" s="1"/>
      <c r="B1" s="1"/>
      <c r="C1" s="1"/>
      <c r="D1" s="2"/>
      <c r="E1" s="1"/>
      <c r="F1" s="1"/>
    </row>
    <row r="2" spans="1:6" ht="15" customHeight="1" x14ac:dyDescent="0.2">
      <c r="A2" s="1"/>
      <c r="B2" s="1"/>
      <c r="C2" s="3" t="s">
        <v>9</v>
      </c>
      <c r="D2" s="57"/>
      <c r="E2" s="57"/>
      <c r="F2" s="1"/>
    </row>
    <row r="3" spans="1:6" ht="15" customHeight="1" x14ac:dyDescent="0.2">
      <c r="A3" s="1"/>
      <c r="B3" s="1"/>
      <c r="C3" s="3" t="s">
        <v>10</v>
      </c>
      <c r="D3" s="58"/>
      <c r="E3" s="58"/>
      <c r="F3" s="1"/>
    </row>
    <row r="4" spans="1:6" ht="15" customHeight="1" x14ac:dyDescent="0.2">
      <c r="A4" s="1"/>
      <c r="B4" s="1"/>
      <c r="C4" s="3" t="s">
        <v>11</v>
      </c>
      <c r="D4" s="57"/>
      <c r="E4" s="57"/>
      <c r="F4" s="1"/>
    </row>
    <row r="5" spans="1:6" ht="15" customHeight="1" x14ac:dyDescent="0.2">
      <c r="A5" s="1"/>
      <c r="B5" s="1"/>
      <c r="C5" s="1"/>
      <c r="D5" s="4"/>
      <c r="E5" s="1"/>
      <c r="F5" s="1"/>
    </row>
    <row r="6" spans="1:6" ht="15" customHeight="1" x14ac:dyDescent="0.2">
      <c r="A6" s="1"/>
      <c r="B6" s="1"/>
      <c r="C6" s="3" t="s">
        <v>12</v>
      </c>
      <c r="D6" s="56"/>
      <c r="E6" s="56"/>
      <c r="F6" s="1"/>
    </row>
    <row r="7" spans="1:6" ht="15" customHeight="1" x14ac:dyDescent="0.2">
      <c r="A7" s="1"/>
      <c r="B7" s="1"/>
      <c r="C7" s="1"/>
      <c r="D7" s="56"/>
      <c r="E7" s="56"/>
      <c r="F7" s="1"/>
    </row>
    <row r="8" spans="1:6" ht="15" customHeight="1" x14ac:dyDescent="0.2">
      <c r="A8" s="1"/>
      <c r="B8" s="1"/>
      <c r="C8" s="1"/>
      <c r="D8" s="56"/>
      <c r="E8" s="56"/>
      <c r="F8" s="1"/>
    </row>
    <row r="9" spans="1:6" ht="15" customHeight="1" x14ac:dyDescent="0.2">
      <c r="A9" s="1"/>
      <c r="B9" s="1"/>
      <c r="C9" s="1"/>
      <c r="D9" s="56"/>
      <c r="E9" s="56"/>
      <c r="F9" s="1"/>
    </row>
    <row r="10" spans="1:6" ht="15" customHeight="1" x14ac:dyDescent="0.2">
      <c r="A10" s="1"/>
      <c r="B10" s="1"/>
      <c r="C10" s="1"/>
      <c r="D10" s="56"/>
      <c r="E10" s="56"/>
      <c r="F10" s="1"/>
    </row>
    <row r="11" spans="1:6" ht="15" customHeight="1" x14ac:dyDescent="0.2">
      <c r="A11" s="1"/>
      <c r="B11" s="1"/>
      <c r="C11" s="1"/>
      <c r="D11" s="4"/>
      <c r="E11" s="1"/>
      <c r="F11" s="1"/>
    </row>
    <row r="12" spans="1:6" ht="15" customHeight="1" x14ac:dyDescent="0.2">
      <c r="A12" s="1"/>
      <c r="B12" s="1"/>
      <c r="C12" s="3" t="s">
        <v>13</v>
      </c>
      <c r="D12" s="59">
        <f ca="1">MAX(E17:E40)</f>
        <v>42005</v>
      </c>
      <c r="E12" s="59"/>
      <c r="F12" s="1"/>
    </row>
    <row r="13" spans="1:6" ht="15" customHeight="1" x14ac:dyDescent="0.2">
      <c r="A13" s="1"/>
      <c r="B13" s="1"/>
      <c r="C13" s="3" t="s">
        <v>14</v>
      </c>
      <c r="D13" s="55">
        <f ca="1">SUM(D17:D40)</f>
        <v>0</v>
      </c>
      <c r="E13" s="55"/>
      <c r="F13" s="1"/>
    </row>
    <row r="14" spans="1:6" ht="15" customHeight="1" x14ac:dyDescent="0.2">
      <c r="A14" s="1"/>
      <c r="B14" s="53"/>
      <c r="C14" s="3" t="s">
        <v>15</v>
      </c>
      <c r="D14" s="54">
        <f ca="1">SUM(C17:C40)</f>
        <v>0</v>
      </c>
      <c r="E14" s="54"/>
      <c r="F14" s="1"/>
    </row>
    <row r="15" spans="1:6" ht="15" customHeight="1" x14ac:dyDescent="0.2">
      <c r="A15" s="1"/>
      <c r="B15" s="19"/>
      <c r="C15" s="3"/>
      <c r="D15" s="5"/>
      <c r="E15" s="1"/>
      <c r="F15" s="1"/>
    </row>
    <row r="16" spans="1:6" ht="15" customHeight="1" thickBot="1" x14ac:dyDescent="0.25">
      <c r="A16" s="8" t="s">
        <v>7</v>
      </c>
      <c r="B16" s="37" t="s">
        <v>4</v>
      </c>
      <c r="C16" s="37" t="s">
        <v>16</v>
      </c>
      <c r="D16" s="38" t="s">
        <v>5</v>
      </c>
      <c r="E16" s="6" t="s">
        <v>6</v>
      </c>
      <c r="F16" s="7"/>
    </row>
    <row r="17" spans="1:6" ht="15" hidden="1" customHeight="1" thickTop="1" x14ac:dyDescent="0.2">
      <c r="A17" s="51">
        <v>0</v>
      </c>
      <c r="B17" s="43" t="str">
        <f ca="1">IF(ROW(C2)&gt;COUNTA(varfornames),"",HYPERLINK("#'"&amp;INDEX(varfornames,ROW(C2))&amp;"'!A1",
MID(INDEX(varfornames,ROW(C2)),FIND("]",INDEX(varfornames,ROW(C2)))+1,31)))</f>
        <v>Prototype</v>
      </c>
      <c r="C17" s="50">
        <f ca="1">IF(LEN($B17)&gt;0, INDIRECT("'"&amp;$B17&amp;"'!D10"), "")</f>
        <v>0</v>
      </c>
      <c r="D17" s="44">
        <f ca="1">IF(LEN($B17)&gt;0, INDIRECT("'"&amp;$B17&amp;"'!D14"), "")</f>
        <v>0</v>
      </c>
      <c r="E17" s="41">
        <f ca="1">IF(LEN($B17)&gt;0, INDIRECT("'"&amp;$B17&amp;"'!D12"), "")</f>
        <v>42005</v>
      </c>
      <c r="F17" s="34"/>
    </row>
    <row r="18" spans="1:6" ht="15" customHeight="1" thickTop="1" x14ac:dyDescent="0.2">
      <c r="A18" s="52" t="str">
        <f ca="1">IF(LEN($B18)&gt;0, $A17+1, "")</f>
        <v/>
      </c>
      <c r="B18" s="43" t="str">
        <f ca="1">IF(ROW(C3)&gt;COUNTA(varfornames),"",HYPERLINK("#'"&amp;INDEX(varfornames,ROW(C3))&amp;"'!A1",
MID(INDEX(varfornames,ROW(C3)),FIND("]",INDEX(varfornames,ROW(C3)))+1,31)))</f>
        <v/>
      </c>
      <c r="C18" s="50" t="str">
        <f ca="1">IF(LEN($B18)&gt;0, INDIRECT("'"&amp;$B18&amp;"'!D10"), "")</f>
        <v/>
      </c>
      <c r="D18" s="45" t="str">
        <f ca="1">IF(LEN($B18)&gt;0, INDIRECT("'"&amp;$B18&amp;"'!D14"), "")</f>
        <v/>
      </c>
      <c r="E18" s="42" t="str">
        <f ca="1">IF(LEN($B18)&gt;0, INDIRECT("'"&amp;$B18&amp;"'!D12"), "")</f>
        <v/>
      </c>
      <c r="F18" s="23"/>
    </row>
    <row r="19" spans="1:6" ht="15" customHeight="1" x14ac:dyDescent="0.2">
      <c r="A19" s="52" t="str">
        <f t="shared" ref="A19:A40" ca="1" si="0">IF(LEN($B19)&gt;0, $A18+1, "")</f>
        <v/>
      </c>
      <c r="B19" s="43" t="str">
        <f ca="1">IF(ROW(C4)&gt;COUNTA(varfornames),"",HYPERLINK("#'"&amp;INDEX(varfornames,ROW(C4))&amp;"'!A1",
MID(INDEX(varfornames,ROW(C4)),FIND("]",INDEX(varfornames,ROW(C4)))+1,31)))</f>
        <v/>
      </c>
      <c r="C19" s="50" t="str">
        <f t="shared" ref="C19:C40" ca="1" si="1">IF(LEN($B19)&gt;0, INDIRECT("'"&amp;$B19&amp;"'!D10"), "")</f>
        <v/>
      </c>
      <c r="D19" s="45" t="str">
        <f t="shared" ref="D19:D40" ca="1" si="2">IF(LEN($B19)&gt;0, INDIRECT("'"&amp;$B19&amp;"'!D14"), "")</f>
        <v/>
      </c>
      <c r="E19" s="42" t="str">
        <f t="shared" ref="E19:E40" ca="1" si="3">IF(LEN($B19)&gt;0, INDIRECT("'"&amp;$B19&amp;"'!D12"), "")</f>
        <v/>
      </c>
      <c r="F19" s="23"/>
    </row>
    <row r="20" spans="1:6" ht="15" customHeight="1" x14ac:dyDescent="0.2">
      <c r="A20" s="52" t="str">
        <f t="shared" ca="1" si="0"/>
        <v/>
      </c>
      <c r="B20" s="43" t="str">
        <f ca="1">IF(ROW(C5)&gt;COUNTA(varfornames),"",HYPERLINK("#'"&amp;INDEX(varfornames,ROW(C5))&amp;"'!A1",
MID(INDEX(varfornames,ROW(C5)),FIND("]",INDEX(varfornames,ROW(C5)))+1,31)))</f>
        <v/>
      </c>
      <c r="C20" s="50" t="str">
        <f t="shared" ca="1" si="1"/>
        <v/>
      </c>
      <c r="D20" s="45" t="str">
        <f t="shared" ca="1" si="2"/>
        <v/>
      </c>
      <c r="E20" s="42" t="str">
        <f t="shared" ca="1" si="3"/>
        <v/>
      </c>
      <c r="F20" s="23"/>
    </row>
    <row r="21" spans="1:6" ht="15" customHeight="1" x14ac:dyDescent="0.2">
      <c r="A21" s="52" t="str">
        <f t="shared" ca="1" si="0"/>
        <v/>
      </c>
      <c r="B21" s="43" t="str">
        <f ca="1">IF(ROW(C6)&gt;COUNTA(varfornames),"",HYPERLINK("#'"&amp;INDEX(varfornames,ROW(C6))&amp;"'!A1",
MID(INDEX(varfornames,ROW(C6)),FIND("]",INDEX(varfornames,ROW(C6)))+1,31)))</f>
        <v/>
      </c>
      <c r="C21" s="50" t="str">
        <f t="shared" ca="1" si="1"/>
        <v/>
      </c>
      <c r="D21" s="45" t="str">
        <f t="shared" ca="1" si="2"/>
        <v/>
      </c>
      <c r="E21" s="42" t="str">
        <f t="shared" ca="1" si="3"/>
        <v/>
      </c>
      <c r="F21" s="23"/>
    </row>
    <row r="22" spans="1:6" ht="15" customHeight="1" x14ac:dyDescent="0.2">
      <c r="A22" s="52" t="str">
        <f t="shared" ca="1" si="0"/>
        <v/>
      </c>
      <c r="B22" s="43" t="str">
        <f ca="1">IF(ROW(C7)&gt;COUNTA(varfornames),"",HYPERLINK("#'"&amp;INDEX(varfornames,ROW(C7))&amp;"'!A1",
MID(INDEX(varfornames,ROW(C7)),FIND("]",INDEX(varfornames,ROW(C7)))+1,31)))</f>
        <v/>
      </c>
      <c r="C22" s="50" t="str">
        <f t="shared" ca="1" si="1"/>
        <v/>
      </c>
      <c r="D22" s="45" t="str">
        <f t="shared" ca="1" si="2"/>
        <v/>
      </c>
      <c r="E22" s="42" t="str">
        <f t="shared" ca="1" si="3"/>
        <v/>
      </c>
      <c r="F22" s="23"/>
    </row>
    <row r="23" spans="1:6" ht="15" customHeight="1" x14ac:dyDescent="0.2">
      <c r="A23" s="52" t="str">
        <f t="shared" ca="1" si="0"/>
        <v/>
      </c>
      <c r="B23" s="43" t="str">
        <f ca="1">IF(ROW(C8)&gt;COUNTA(varfornames),"",HYPERLINK("#'"&amp;INDEX(varfornames,ROW(C8))&amp;"'!A1",
MID(INDEX(varfornames,ROW(C8)),FIND("]",INDEX(varfornames,ROW(C8)))+1,31)))</f>
        <v/>
      </c>
      <c r="C23" s="50" t="str">
        <f t="shared" ca="1" si="1"/>
        <v/>
      </c>
      <c r="D23" s="45" t="str">
        <f t="shared" ca="1" si="2"/>
        <v/>
      </c>
      <c r="E23" s="42" t="str">
        <f t="shared" ca="1" si="3"/>
        <v/>
      </c>
      <c r="F23" s="23"/>
    </row>
    <row r="24" spans="1:6" ht="15" customHeight="1" x14ac:dyDescent="0.2">
      <c r="A24" s="52" t="str">
        <f t="shared" ca="1" si="0"/>
        <v/>
      </c>
      <c r="B24" s="43" t="str">
        <f ca="1">IF(ROW(C9)&gt;COUNTA(varfornames),"",HYPERLINK("#'"&amp;INDEX(varfornames,ROW(C9))&amp;"'!A1",
MID(INDEX(varfornames,ROW(C9)),FIND("]",INDEX(varfornames,ROW(C9)))+1,31)))</f>
        <v/>
      </c>
      <c r="C24" s="50" t="str">
        <f t="shared" ca="1" si="1"/>
        <v/>
      </c>
      <c r="D24" s="45" t="str">
        <f t="shared" ca="1" si="2"/>
        <v/>
      </c>
      <c r="E24" s="42" t="str">
        <f t="shared" ca="1" si="3"/>
        <v/>
      </c>
      <c r="F24" s="23"/>
    </row>
    <row r="25" spans="1:6" ht="15" customHeight="1" x14ac:dyDescent="0.2">
      <c r="A25" s="52" t="str">
        <f t="shared" ca="1" si="0"/>
        <v/>
      </c>
      <c r="B25" s="43" t="str">
        <f ca="1">IF(ROW(C10)&gt;COUNTA(varfornames),"",HYPERLINK("#'"&amp;INDEX(varfornames,ROW(C10))&amp;"'!A1",
MID(INDEX(varfornames,ROW(C10)),FIND("]",INDEX(varfornames,ROW(C10)))+1,31)))</f>
        <v/>
      </c>
      <c r="C25" s="50" t="str">
        <f t="shared" ca="1" si="1"/>
        <v/>
      </c>
      <c r="D25" s="45" t="str">
        <f t="shared" ca="1" si="2"/>
        <v/>
      </c>
      <c r="E25" s="42" t="str">
        <f t="shared" ca="1" si="3"/>
        <v/>
      </c>
      <c r="F25" s="23"/>
    </row>
    <row r="26" spans="1:6" ht="15" customHeight="1" x14ac:dyDescent="0.2">
      <c r="A26" s="52" t="str">
        <f t="shared" ca="1" si="0"/>
        <v/>
      </c>
      <c r="B26" s="43" t="str">
        <f ca="1">IF(ROW(C11)&gt;COUNTA(varfornames),"",HYPERLINK("#'"&amp;INDEX(varfornames,ROW(C11))&amp;"'!A1",
MID(INDEX(varfornames,ROW(C11)),FIND("]",INDEX(varfornames,ROW(C11)))+1,31)))</f>
        <v/>
      </c>
      <c r="C26" s="50" t="str">
        <f t="shared" ca="1" si="1"/>
        <v/>
      </c>
      <c r="D26" s="45" t="str">
        <f t="shared" ca="1" si="2"/>
        <v/>
      </c>
      <c r="E26" s="42" t="str">
        <f t="shared" ca="1" si="3"/>
        <v/>
      </c>
      <c r="F26" s="23"/>
    </row>
    <row r="27" spans="1:6" ht="15" customHeight="1" x14ac:dyDescent="0.2">
      <c r="A27" s="52" t="str">
        <f t="shared" ca="1" si="0"/>
        <v/>
      </c>
      <c r="B27" s="43" t="str">
        <f ca="1">IF(ROW(C12)&gt;COUNTA(varfornames),"",HYPERLINK("#'"&amp;INDEX(varfornames,ROW(C12))&amp;"'!A1",
MID(INDEX(varfornames,ROW(C12)),FIND("]",INDEX(varfornames,ROW(C12)))+1,31)))</f>
        <v/>
      </c>
      <c r="C27" s="50" t="str">
        <f t="shared" ca="1" si="1"/>
        <v/>
      </c>
      <c r="D27" s="45" t="str">
        <f t="shared" ca="1" si="2"/>
        <v/>
      </c>
      <c r="E27" s="42" t="str">
        <f t="shared" ca="1" si="3"/>
        <v/>
      </c>
      <c r="F27" s="23"/>
    </row>
    <row r="28" spans="1:6" ht="15" customHeight="1" x14ac:dyDescent="0.2">
      <c r="A28" s="52" t="str">
        <f t="shared" ca="1" si="0"/>
        <v/>
      </c>
      <c r="B28" s="43" t="str">
        <f ca="1">IF(ROW(C13)&gt;COUNTA(varfornames),"",HYPERLINK("#'"&amp;INDEX(varfornames,ROW(C13))&amp;"'!A1",
MID(INDEX(varfornames,ROW(C13)),FIND("]",INDEX(varfornames,ROW(C13)))+1,31)))</f>
        <v/>
      </c>
      <c r="C28" s="50" t="str">
        <f t="shared" ca="1" si="1"/>
        <v/>
      </c>
      <c r="D28" s="45" t="str">
        <f t="shared" ca="1" si="2"/>
        <v/>
      </c>
      <c r="E28" s="42" t="str">
        <f t="shared" ca="1" si="3"/>
        <v/>
      </c>
      <c r="F28" s="23"/>
    </row>
    <row r="29" spans="1:6" ht="15" customHeight="1" x14ac:dyDescent="0.2">
      <c r="A29" s="52" t="str">
        <f t="shared" ca="1" si="0"/>
        <v/>
      </c>
      <c r="B29" s="43" t="str">
        <f ca="1">IF(ROW(C14)&gt;COUNTA(varfornames),"",HYPERLINK("#'"&amp;INDEX(varfornames,ROW(C14))&amp;"'!A1",
MID(INDEX(varfornames,ROW(C14)),FIND("]",INDEX(varfornames,ROW(C14)))+1,31)))</f>
        <v/>
      </c>
      <c r="C29" s="50" t="str">
        <f t="shared" ca="1" si="1"/>
        <v/>
      </c>
      <c r="D29" s="45" t="str">
        <f t="shared" ca="1" si="2"/>
        <v/>
      </c>
      <c r="E29" s="42" t="str">
        <f t="shared" ca="1" si="3"/>
        <v/>
      </c>
      <c r="F29" s="23"/>
    </row>
    <row r="30" spans="1:6" ht="15" customHeight="1" x14ac:dyDescent="0.2">
      <c r="A30" s="52" t="str">
        <f t="shared" ca="1" si="0"/>
        <v/>
      </c>
      <c r="B30" s="43" t="str">
        <f ca="1">IF(ROW(C15)&gt;COUNTA(varfornames),"",HYPERLINK("#'"&amp;INDEX(varfornames,ROW(C15))&amp;"'!A1",
MID(INDEX(varfornames,ROW(C15)),FIND("]",INDEX(varfornames,ROW(C15)))+1,31)))</f>
        <v/>
      </c>
      <c r="C30" s="50" t="str">
        <f t="shared" ca="1" si="1"/>
        <v/>
      </c>
      <c r="D30" s="45" t="str">
        <f t="shared" ca="1" si="2"/>
        <v/>
      </c>
      <c r="E30" s="42" t="str">
        <f t="shared" ca="1" si="3"/>
        <v/>
      </c>
      <c r="F30" s="23"/>
    </row>
    <row r="31" spans="1:6" ht="15" customHeight="1" x14ac:dyDescent="0.2">
      <c r="A31" s="52" t="str">
        <f t="shared" ca="1" si="0"/>
        <v/>
      </c>
      <c r="B31" s="43" t="str">
        <f ca="1">IF(ROW(C16)&gt;COUNTA(varfornames),"",HYPERLINK("#'"&amp;INDEX(varfornames,ROW(C16))&amp;"'!A1",
MID(INDEX(varfornames,ROW(C16)),FIND("]",INDEX(varfornames,ROW(C16)))+1,31)))</f>
        <v/>
      </c>
      <c r="C31" s="50" t="str">
        <f t="shared" ca="1" si="1"/>
        <v/>
      </c>
      <c r="D31" s="45" t="str">
        <f t="shared" ca="1" si="2"/>
        <v/>
      </c>
      <c r="E31" s="42" t="str">
        <f t="shared" ca="1" si="3"/>
        <v/>
      </c>
      <c r="F31" s="23"/>
    </row>
    <row r="32" spans="1:6" ht="15" customHeight="1" x14ac:dyDescent="0.2">
      <c r="A32" s="52" t="str">
        <f t="shared" ca="1" si="0"/>
        <v/>
      </c>
      <c r="B32" s="43" t="str">
        <f ca="1">IF(ROW(C17)&gt;COUNTA(varfornames),"",HYPERLINK("#'"&amp;INDEX(varfornames,ROW(C17))&amp;"'!A1",
MID(INDEX(varfornames,ROW(C17)),FIND("]",INDEX(varfornames,ROW(C17)))+1,31)))</f>
        <v/>
      </c>
      <c r="C32" s="50" t="str">
        <f t="shared" ca="1" si="1"/>
        <v/>
      </c>
      <c r="D32" s="45" t="str">
        <f t="shared" ca="1" si="2"/>
        <v/>
      </c>
      <c r="E32" s="42" t="str">
        <f t="shared" ca="1" si="3"/>
        <v/>
      </c>
      <c r="F32" s="23"/>
    </row>
    <row r="33" spans="1:6" ht="15" customHeight="1" x14ac:dyDescent="0.2">
      <c r="A33" s="52" t="str">
        <f t="shared" ca="1" si="0"/>
        <v/>
      </c>
      <c r="B33" s="43" t="str">
        <f ca="1">IF(ROW(C18)&gt;COUNTA(varfornames),"",HYPERLINK("#'"&amp;INDEX(varfornames,ROW(C18))&amp;"'!A1",
MID(INDEX(varfornames,ROW(C18)),FIND("]",INDEX(varfornames,ROW(C18)))+1,31)))</f>
        <v/>
      </c>
      <c r="C33" s="50" t="str">
        <f t="shared" ca="1" si="1"/>
        <v/>
      </c>
      <c r="D33" s="45" t="str">
        <f t="shared" ca="1" si="2"/>
        <v/>
      </c>
      <c r="E33" s="42" t="str">
        <f t="shared" ca="1" si="3"/>
        <v/>
      </c>
      <c r="F33" s="23"/>
    </row>
    <row r="34" spans="1:6" ht="15" customHeight="1" x14ac:dyDescent="0.2">
      <c r="A34" s="52" t="str">
        <f t="shared" ca="1" si="0"/>
        <v/>
      </c>
      <c r="B34" s="43" t="str">
        <f ca="1">IF(ROW(C19)&gt;COUNTA(varfornames),"",HYPERLINK("#'"&amp;INDEX(varfornames,ROW(C19))&amp;"'!A1",
MID(INDEX(varfornames,ROW(C19)),FIND("]",INDEX(varfornames,ROW(C19)))+1,31)))</f>
        <v/>
      </c>
      <c r="C34" s="50" t="str">
        <f t="shared" ca="1" si="1"/>
        <v/>
      </c>
      <c r="D34" s="45" t="str">
        <f t="shared" ca="1" si="2"/>
        <v/>
      </c>
      <c r="E34" s="42" t="str">
        <f t="shared" ca="1" si="3"/>
        <v/>
      </c>
      <c r="F34" s="23"/>
    </row>
    <row r="35" spans="1:6" ht="15" customHeight="1" x14ac:dyDescent="0.2">
      <c r="A35" s="52" t="str">
        <f t="shared" ca="1" si="0"/>
        <v/>
      </c>
      <c r="B35" s="43" t="str">
        <f ca="1">IF(ROW(C20)&gt;COUNTA(varfornames),"",HYPERLINK("#'"&amp;INDEX(varfornames,ROW(C20))&amp;"'!A1",
MID(INDEX(varfornames,ROW(C20)),FIND("]",INDEX(varfornames,ROW(C20)))+1,31)))</f>
        <v/>
      </c>
      <c r="C35" s="50" t="str">
        <f t="shared" ca="1" si="1"/>
        <v/>
      </c>
      <c r="D35" s="45" t="str">
        <f t="shared" ca="1" si="2"/>
        <v/>
      </c>
      <c r="E35" s="42" t="str">
        <f t="shared" ca="1" si="3"/>
        <v/>
      </c>
      <c r="F35" s="23"/>
    </row>
    <row r="36" spans="1:6" ht="15" customHeight="1" x14ac:dyDescent="0.2">
      <c r="A36" s="52" t="str">
        <f t="shared" ca="1" si="0"/>
        <v/>
      </c>
      <c r="B36" s="43" t="str">
        <f ca="1">IF(ROW(C21)&gt;COUNTA(varfornames),"",HYPERLINK("#'"&amp;INDEX(varfornames,ROW(C21))&amp;"'!A1",
MID(INDEX(varfornames,ROW(C21)),FIND("]",INDEX(varfornames,ROW(C21)))+1,31)))</f>
        <v/>
      </c>
      <c r="C36" s="50" t="str">
        <f t="shared" ca="1" si="1"/>
        <v/>
      </c>
      <c r="D36" s="45" t="str">
        <f t="shared" ca="1" si="2"/>
        <v/>
      </c>
      <c r="E36" s="42" t="str">
        <f t="shared" ca="1" si="3"/>
        <v/>
      </c>
      <c r="F36" s="23"/>
    </row>
    <row r="37" spans="1:6" ht="15" customHeight="1" x14ac:dyDescent="0.2">
      <c r="A37" s="52" t="str">
        <f t="shared" ca="1" si="0"/>
        <v/>
      </c>
      <c r="B37" s="43" t="str">
        <f ca="1">IF(ROW(C22)&gt;COUNTA(varfornames),"",HYPERLINK("#'"&amp;INDEX(varfornames,ROW(C22))&amp;"'!A1",
MID(INDEX(varfornames,ROW(C22)),FIND("]",INDEX(varfornames,ROW(C22)))+1,31)))</f>
        <v/>
      </c>
      <c r="C37" s="50" t="str">
        <f t="shared" ca="1" si="1"/>
        <v/>
      </c>
      <c r="D37" s="45" t="str">
        <f t="shared" ca="1" si="2"/>
        <v/>
      </c>
      <c r="E37" s="42" t="str">
        <f t="shared" ca="1" si="3"/>
        <v/>
      </c>
      <c r="F37" s="23"/>
    </row>
    <row r="38" spans="1:6" ht="15" customHeight="1" x14ac:dyDescent="0.2">
      <c r="A38" s="52" t="str">
        <f t="shared" ca="1" si="0"/>
        <v/>
      </c>
      <c r="B38" s="43" t="str">
        <f ca="1">IF(ROW(C23)&gt;COUNTA(varfornames),"",HYPERLINK("#'"&amp;INDEX(varfornames,ROW(C23))&amp;"'!A1",
MID(INDEX(varfornames,ROW(C23)),FIND("]",INDEX(varfornames,ROW(C23)))+1,31)))</f>
        <v/>
      </c>
      <c r="C38" s="50" t="str">
        <f t="shared" ca="1" si="1"/>
        <v/>
      </c>
      <c r="D38" s="45" t="str">
        <f t="shared" ca="1" si="2"/>
        <v/>
      </c>
      <c r="E38" s="42" t="str">
        <f t="shared" ca="1" si="3"/>
        <v/>
      </c>
      <c r="F38" s="23"/>
    </row>
    <row r="39" spans="1:6" ht="15" customHeight="1" x14ac:dyDescent="0.2">
      <c r="A39" s="52" t="str">
        <f t="shared" ca="1" si="0"/>
        <v/>
      </c>
      <c r="B39" s="43" t="str">
        <f ca="1">IF(ROW(C24)&gt;COUNTA(varfornames),"",HYPERLINK("#'"&amp;INDEX(varfornames,ROW(C24))&amp;"'!A1",
MID(INDEX(varfornames,ROW(C24)),FIND("]",INDEX(varfornames,ROW(C24)))+1,31)))</f>
        <v/>
      </c>
      <c r="C39" s="50" t="str">
        <f t="shared" ca="1" si="1"/>
        <v/>
      </c>
      <c r="D39" s="45" t="str">
        <f t="shared" ca="1" si="2"/>
        <v/>
      </c>
      <c r="E39" s="42" t="str">
        <f t="shared" ca="1" si="3"/>
        <v/>
      </c>
      <c r="F39" s="23"/>
    </row>
    <row r="40" spans="1:6" ht="15" customHeight="1" x14ac:dyDescent="0.2">
      <c r="A40" s="52" t="str">
        <f t="shared" ca="1" si="0"/>
        <v/>
      </c>
      <c r="B40" s="43" t="str">
        <f ca="1">IF(ROW(C25)&gt;COUNTA(varfornames),"",HYPERLINK("#'"&amp;INDEX(varfornames,ROW(C25))&amp;"'!A1",
MID(INDEX(varfornames,ROW(C25)),FIND("]",INDEX(varfornames,ROW(C25)))+1,31)))</f>
        <v/>
      </c>
      <c r="C40" s="50" t="str">
        <f t="shared" ca="1" si="1"/>
        <v/>
      </c>
      <c r="D40" s="45" t="str">
        <f t="shared" ca="1" si="2"/>
        <v/>
      </c>
      <c r="E40" s="42" t="str">
        <f t="shared" ca="1" si="3"/>
        <v/>
      </c>
      <c r="F40" s="23"/>
    </row>
  </sheetData>
  <mergeCells count="7">
    <mergeCell ref="D14:E14"/>
    <mergeCell ref="D13:E13"/>
    <mergeCell ref="D6:E10"/>
    <mergeCell ref="D2:E2"/>
    <mergeCell ref="D3:E3"/>
    <mergeCell ref="D4:E4"/>
    <mergeCell ref="D12:E12"/>
  </mergeCells>
  <phoneticPr fontId="0" type="noConversion"/>
  <pageMargins left="0.78740157499999996" right="0.78740157499999996" top="0.984251969" bottom="0.984251969" header="0.5" footer="0.5"/>
  <pageSetup paperSize="9" scale="8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HelpInfo">
                <anchor moveWithCells="1">
                  <from>
                    <xdr:col>1</xdr:col>
                    <xdr:colOff>0</xdr:colOff>
                    <xdr:row>4</xdr:row>
                    <xdr:rowOff>133350</xdr:rowOff>
                  </from>
                  <to>
                    <xdr:col>1</xdr:col>
                    <xdr:colOff>1104900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oHome">
                <anchor moveWithCells="1"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1</xdr:col>
                    <xdr:colOff>733425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oPrev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361950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GoNext">
                <anchor moveWithCells="1">
                  <from>
                    <xdr:col>1</xdr:col>
                    <xdr:colOff>742950</xdr:colOff>
                    <xdr:row>3</xdr:row>
                    <xdr:rowOff>0</xdr:rowOff>
                  </from>
                  <to>
                    <xdr:col>1</xdr:col>
                    <xdr:colOff>1104900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NewSubAccount">
                <anchor moveWithCells="1">
                  <from>
                    <xdr:col>1</xdr:col>
                    <xdr:colOff>0</xdr:colOff>
                    <xdr:row>6</xdr:row>
                    <xdr:rowOff>76200</xdr:rowOff>
                  </from>
                  <to>
                    <xdr:col>1</xdr:col>
                    <xdr:colOff>1104900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PayAll">
                <anchor mov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1</xdr:col>
                    <xdr:colOff>1104900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00B050"/>
  </sheetPr>
  <dimension ref="A1:F114"/>
  <sheetViews>
    <sheetView showGridLines="0" zoomScaleNormal="100" workbookViewId="0">
      <selection activeCell="D4" sqref="D4:E8"/>
    </sheetView>
  </sheetViews>
  <sheetFormatPr baseColWidth="10" defaultColWidth="9.140625" defaultRowHeight="15" customHeight="1" x14ac:dyDescent="0.2"/>
  <cols>
    <col min="1" max="1" width="10.7109375" style="11" customWidth="1"/>
    <col min="2" max="2" width="15.7109375" style="13" customWidth="1"/>
    <col min="3" max="3" width="36.7109375" style="11" customWidth="1"/>
    <col min="4" max="4" width="12.7109375" style="14" customWidth="1"/>
    <col min="5" max="5" width="20.7109375" style="20" customWidth="1"/>
    <col min="6" max="6" width="10.7109375" style="11" customWidth="1"/>
    <col min="7" max="16384" width="9.140625" style="10"/>
  </cols>
  <sheetData>
    <row r="1" spans="1:6" ht="15" customHeight="1" x14ac:dyDescent="0.2">
      <c r="A1" s="1"/>
      <c r="B1" s="17"/>
      <c r="C1" s="1"/>
      <c r="D1" s="16"/>
      <c r="E1" s="18"/>
      <c r="F1" s="1"/>
    </row>
    <row r="2" spans="1:6" ht="15" customHeight="1" x14ac:dyDescent="0.2">
      <c r="A2" s="1"/>
      <c r="B2" s="15"/>
      <c r="C2" s="19" t="s">
        <v>17</v>
      </c>
      <c r="D2" s="60" t="str">
        <f ca="1">MID(CELL("Dateiname",$B$1),FIND("]",CELL("Dateiname",$B$1))+1,31)</f>
        <v>Prototype</v>
      </c>
      <c r="E2" s="60"/>
      <c r="F2" s="1"/>
    </row>
    <row r="3" spans="1:6" ht="15" customHeight="1" x14ac:dyDescent="0.2">
      <c r="A3" s="1"/>
      <c r="B3" s="15"/>
      <c r="C3" s="19"/>
      <c r="D3" s="16"/>
      <c r="E3" s="18"/>
      <c r="F3" s="1"/>
    </row>
    <row r="4" spans="1:6" ht="15" customHeight="1" x14ac:dyDescent="0.2">
      <c r="A4" s="1"/>
      <c r="B4" s="15"/>
      <c r="C4" s="19" t="s">
        <v>12</v>
      </c>
      <c r="D4" s="64" t="s">
        <v>19</v>
      </c>
      <c r="E4" s="64"/>
      <c r="F4" s="1"/>
    </row>
    <row r="5" spans="1:6" ht="15" customHeight="1" x14ac:dyDescent="0.2">
      <c r="A5" s="1"/>
      <c r="B5" s="15"/>
      <c r="C5" s="15"/>
      <c r="D5" s="64"/>
      <c r="E5" s="64"/>
      <c r="F5" s="1"/>
    </row>
    <row r="6" spans="1:6" ht="15" customHeight="1" x14ac:dyDescent="0.2">
      <c r="A6" s="1"/>
      <c r="B6" s="15"/>
      <c r="C6" s="15"/>
      <c r="D6" s="64"/>
      <c r="E6" s="64"/>
      <c r="F6" s="1"/>
    </row>
    <row r="7" spans="1:6" ht="15" customHeight="1" x14ac:dyDescent="0.2">
      <c r="A7" s="1"/>
      <c r="B7" s="15"/>
      <c r="C7" s="15"/>
      <c r="D7" s="64"/>
      <c r="E7" s="64"/>
      <c r="F7" s="1"/>
    </row>
    <row r="8" spans="1:6" ht="15" customHeight="1" x14ac:dyDescent="0.2">
      <c r="A8" s="1"/>
      <c r="B8" s="15"/>
      <c r="C8" s="15"/>
      <c r="D8" s="64"/>
      <c r="E8" s="64"/>
      <c r="F8" s="1"/>
    </row>
    <row r="9" spans="1:6" ht="15" customHeight="1" x14ac:dyDescent="0.2">
      <c r="A9" s="1"/>
      <c r="B9" s="15"/>
      <c r="C9" s="15"/>
      <c r="D9" s="16"/>
      <c r="E9" s="18"/>
      <c r="F9" s="1"/>
    </row>
    <row r="10" spans="1:6" ht="15" customHeight="1" x14ac:dyDescent="0.2">
      <c r="A10" s="1"/>
      <c r="B10" s="15"/>
      <c r="C10" s="19" t="s">
        <v>18</v>
      </c>
      <c r="D10" s="61"/>
      <c r="E10" s="61"/>
      <c r="F10" s="1"/>
    </row>
    <row r="11" spans="1:6" ht="15" customHeight="1" x14ac:dyDescent="0.2">
      <c r="A11" s="1"/>
      <c r="B11" s="15"/>
      <c r="C11" s="15"/>
      <c r="D11" s="16"/>
      <c r="E11" s="18"/>
      <c r="F11" s="1"/>
    </row>
    <row r="12" spans="1:6" ht="15" customHeight="1" x14ac:dyDescent="0.2">
      <c r="A12" s="1"/>
      <c r="B12" s="15"/>
      <c r="C12" s="3" t="s">
        <v>13</v>
      </c>
      <c r="D12" s="62">
        <f>MAX(B17:B53)</f>
        <v>42005</v>
      </c>
      <c r="E12" s="62"/>
      <c r="F12" s="1"/>
    </row>
    <row r="13" spans="1:6" ht="15" customHeight="1" x14ac:dyDescent="0.2">
      <c r="A13" s="1"/>
      <c r="B13" s="15"/>
      <c r="C13" s="1"/>
      <c r="D13" s="16"/>
      <c r="E13" s="18"/>
      <c r="F13" s="1"/>
    </row>
    <row r="14" spans="1:6" ht="15" customHeight="1" x14ac:dyDescent="0.2">
      <c r="A14" s="1"/>
      <c r="B14" s="15"/>
      <c r="C14" s="3" t="s">
        <v>14</v>
      </c>
      <c r="D14" s="63">
        <f>SUM(D17:D65)+E17</f>
        <v>0</v>
      </c>
      <c r="E14" s="63"/>
      <c r="F14" s="1"/>
    </row>
    <row r="15" spans="1:6" ht="15" customHeight="1" x14ac:dyDescent="0.2">
      <c r="A15" s="1"/>
      <c r="B15" s="3"/>
      <c r="C15" s="9"/>
      <c r="D15" s="16"/>
      <c r="E15" s="18"/>
      <c r="F15" s="1"/>
    </row>
    <row r="16" spans="1:6" s="12" customFormat="1" ht="15" customHeight="1" thickBot="1" x14ac:dyDescent="0.25">
      <c r="A16" s="36"/>
      <c r="B16" s="37" t="s">
        <v>0</v>
      </c>
      <c r="C16" s="38" t="s">
        <v>1</v>
      </c>
      <c r="D16" s="38" t="s">
        <v>8</v>
      </c>
      <c r="E16" s="39" t="s">
        <v>2</v>
      </c>
      <c r="F16" s="36"/>
    </row>
    <row r="17" spans="1:6" ht="15" customHeight="1" thickTop="1" x14ac:dyDescent="0.2">
      <c r="A17" s="34"/>
      <c r="B17" s="46">
        <v>42005</v>
      </c>
      <c r="C17" s="35" t="s">
        <v>3</v>
      </c>
      <c r="D17" s="47"/>
      <c r="E17" s="49">
        <v>0</v>
      </c>
      <c r="F17" s="34"/>
    </row>
    <row r="18" spans="1:6" ht="15" customHeight="1" x14ac:dyDescent="0.2">
      <c r="A18" s="23"/>
      <c r="B18" s="25"/>
      <c r="C18" s="26"/>
      <c r="D18" s="27"/>
      <c r="E18" s="28" t="str">
        <f>IF(B18&lt;&gt;0,SUM(E17+D18),"")</f>
        <v/>
      </c>
      <c r="F18" s="23"/>
    </row>
    <row r="19" spans="1:6" ht="15" customHeight="1" x14ac:dyDescent="0.2">
      <c r="A19" s="23"/>
      <c r="B19" s="25"/>
      <c r="C19" s="26"/>
      <c r="D19" s="27"/>
      <c r="E19" s="28" t="str">
        <f>IF(B19&lt;&gt;0,SUM(E18+D19),"")</f>
        <v/>
      </c>
      <c r="F19" s="23"/>
    </row>
    <row r="20" spans="1:6" ht="15" customHeight="1" x14ac:dyDescent="0.2">
      <c r="A20" s="23"/>
      <c r="B20" s="25"/>
      <c r="C20" s="26"/>
      <c r="D20" s="27"/>
      <c r="E20" s="28" t="str">
        <f t="shared" ref="E20:E61" si="0">IF(B20&lt;&gt;0,SUM(E19+D20),"")</f>
        <v/>
      </c>
      <c r="F20" s="23"/>
    </row>
    <row r="21" spans="1:6" ht="15" customHeight="1" x14ac:dyDescent="0.2">
      <c r="A21" s="23"/>
      <c r="B21" s="25"/>
      <c r="C21" s="26"/>
      <c r="D21" s="27"/>
      <c r="E21" s="28" t="str">
        <f t="shared" si="0"/>
        <v/>
      </c>
      <c r="F21" s="23"/>
    </row>
    <row r="22" spans="1:6" ht="15" customHeight="1" x14ac:dyDescent="0.2">
      <c r="A22" s="23"/>
      <c r="B22" s="25"/>
      <c r="C22" s="26"/>
      <c r="D22" s="27"/>
      <c r="E22" s="28" t="str">
        <f t="shared" si="0"/>
        <v/>
      </c>
      <c r="F22" s="23"/>
    </row>
    <row r="23" spans="1:6" ht="15" customHeight="1" x14ac:dyDescent="0.2">
      <c r="A23" s="23"/>
      <c r="B23" s="25"/>
      <c r="C23" s="26"/>
      <c r="D23" s="27"/>
      <c r="E23" s="28" t="str">
        <f t="shared" si="0"/>
        <v/>
      </c>
      <c r="F23" s="23"/>
    </row>
    <row r="24" spans="1:6" ht="15" customHeight="1" x14ac:dyDescent="0.2">
      <c r="A24" s="23"/>
      <c r="B24" s="25"/>
      <c r="C24" s="26"/>
      <c r="D24" s="27"/>
      <c r="E24" s="28" t="str">
        <f t="shared" si="0"/>
        <v/>
      </c>
      <c r="F24" s="23"/>
    </row>
    <row r="25" spans="1:6" ht="15" customHeight="1" x14ac:dyDescent="0.2">
      <c r="A25" s="23"/>
      <c r="B25" s="25"/>
      <c r="C25" s="26"/>
      <c r="D25" s="27"/>
      <c r="E25" s="28" t="str">
        <f t="shared" si="0"/>
        <v/>
      </c>
      <c r="F25" s="23"/>
    </row>
    <row r="26" spans="1:6" ht="15" customHeight="1" x14ac:dyDescent="0.2">
      <c r="A26" s="23"/>
      <c r="B26" s="25"/>
      <c r="C26" s="26"/>
      <c r="D26" s="27"/>
      <c r="E26" s="28" t="str">
        <f t="shared" si="0"/>
        <v/>
      </c>
      <c r="F26" s="23"/>
    </row>
    <row r="27" spans="1:6" ht="15" customHeight="1" x14ac:dyDescent="0.2">
      <c r="A27" s="23"/>
      <c r="B27" s="25"/>
      <c r="C27" s="26"/>
      <c r="D27" s="27"/>
      <c r="E27" s="28" t="str">
        <f t="shared" si="0"/>
        <v/>
      </c>
      <c r="F27" s="23"/>
    </row>
    <row r="28" spans="1:6" ht="15" customHeight="1" x14ac:dyDescent="0.2">
      <c r="A28" s="23"/>
      <c r="B28" s="25"/>
      <c r="C28" s="26"/>
      <c r="D28" s="27"/>
      <c r="E28" s="28" t="str">
        <f t="shared" si="0"/>
        <v/>
      </c>
      <c r="F28" s="23"/>
    </row>
    <row r="29" spans="1:6" ht="15" customHeight="1" x14ac:dyDescent="0.2">
      <c r="A29" s="23"/>
      <c r="B29" s="25"/>
      <c r="C29" s="26"/>
      <c r="D29" s="27"/>
      <c r="E29" s="28" t="str">
        <f t="shared" si="0"/>
        <v/>
      </c>
      <c r="F29" s="23"/>
    </row>
    <row r="30" spans="1:6" ht="15" customHeight="1" x14ac:dyDescent="0.2">
      <c r="A30" s="23"/>
      <c r="B30" s="25"/>
      <c r="C30" s="26"/>
      <c r="D30" s="27"/>
      <c r="E30" s="28" t="str">
        <f t="shared" si="0"/>
        <v/>
      </c>
      <c r="F30" s="23"/>
    </row>
    <row r="31" spans="1:6" ht="15" customHeight="1" x14ac:dyDescent="0.2">
      <c r="A31" s="23"/>
      <c r="B31" s="25"/>
      <c r="C31" s="26"/>
      <c r="D31" s="27"/>
      <c r="E31" s="28" t="str">
        <f t="shared" si="0"/>
        <v/>
      </c>
      <c r="F31" s="23"/>
    </row>
    <row r="32" spans="1:6" ht="15" customHeight="1" x14ac:dyDescent="0.2">
      <c r="A32" s="23"/>
      <c r="B32" s="25"/>
      <c r="C32" s="26"/>
      <c r="D32" s="27"/>
      <c r="E32" s="28" t="str">
        <f t="shared" si="0"/>
        <v/>
      </c>
      <c r="F32" s="23"/>
    </row>
    <row r="33" spans="1:6" ht="15" customHeight="1" x14ac:dyDescent="0.2">
      <c r="A33" s="23"/>
      <c r="B33" s="25"/>
      <c r="C33" s="26"/>
      <c r="D33" s="27"/>
      <c r="E33" s="28" t="str">
        <f t="shared" si="0"/>
        <v/>
      </c>
      <c r="F33" s="23"/>
    </row>
    <row r="34" spans="1:6" ht="15" customHeight="1" x14ac:dyDescent="0.2">
      <c r="A34" s="23"/>
      <c r="B34" s="25"/>
      <c r="C34" s="26"/>
      <c r="D34" s="27"/>
      <c r="E34" s="28" t="str">
        <f t="shared" si="0"/>
        <v/>
      </c>
      <c r="F34" s="23"/>
    </row>
    <row r="35" spans="1:6" ht="15" customHeight="1" x14ac:dyDescent="0.2">
      <c r="A35" s="23"/>
      <c r="B35" s="25"/>
      <c r="C35" s="26"/>
      <c r="D35" s="27"/>
      <c r="E35" s="28" t="str">
        <f t="shared" si="0"/>
        <v/>
      </c>
      <c r="F35" s="23"/>
    </row>
    <row r="36" spans="1:6" ht="15" customHeight="1" x14ac:dyDescent="0.2">
      <c r="A36" s="23"/>
      <c r="B36" s="25"/>
      <c r="C36" s="26"/>
      <c r="D36" s="27"/>
      <c r="E36" s="28" t="str">
        <f t="shared" si="0"/>
        <v/>
      </c>
      <c r="F36" s="23"/>
    </row>
    <row r="37" spans="1:6" ht="15" customHeight="1" x14ac:dyDescent="0.2">
      <c r="A37" s="23"/>
      <c r="B37" s="25"/>
      <c r="C37" s="26"/>
      <c r="D37" s="27"/>
      <c r="E37" s="28" t="str">
        <f t="shared" si="0"/>
        <v/>
      </c>
      <c r="F37" s="23"/>
    </row>
    <row r="38" spans="1:6" ht="15" customHeight="1" x14ac:dyDescent="0.2">
      <c r="A38" s="23"/>
      <c r="B38" s="25"/>
      <c r="C38" s="26"/>
      <c r="D38" s="27"/>
      <c r="E38" s="28" t="str">
        <f t="shared" si="0"/>
        <v/>
      </c>
      <c r="F38" s="23"/>
    </row>
    <row r="39" spans="1:6" ht="15" customHeight="1" x14ac:dyDescent="0.2">
      <c r="A39" s="23"/>
      <c r="B39" s="25"/>
      <c r="C39" s="26"/>
      <c r="D39" s="27"/>
      <c r="E39" s="28" t="str">
        <f t="shared" si="0"/>
        <v/>
      </c>
      <c r="F39" s="23"/>
    </row>
    <row r="40" spans="1:6" ht="15" customHeight="1" x14ac:dyDescent="0.2">
      <c r="A40" s="23"/>
      <c r="B40" s="25"/>
      <c r="C40" s="26"/>
      <c r="D40" s="27"/>
      <c r="E40" s="28" t="str">
        <f t="shared" si="0"/>
        <v/>
      </c>
      <c r="F40" s="23"/>
    </row>
    <row r="41" spans="1:6" ht="15" customHeight="1" x14ac:dyDescent="0.2">
      <c r="A41" s="23"/>
      <c r="B41" s="29"/>
      <c r="C41" s="26"/>
      <c r="D41" s="27"/>
      <c r="E41" s="28" t="str">
        <f t="shared" si="0"/>
        <v/>
      </c>
      <c r="F41" s="23"/>
    </row>
    <row r="42" spans="1:6" ht="15" customHeight="1" x14ac:dyDescent="0.2">
      <c r="A42" s="23"/>
      <c r="B42" s="29"/>
      <c r="C42" s="26"/>
      <c r="D42" s="27"/>
      <c r="E42" s="28" t="str">
        <f t="shared" si="0"/>
        <v/>
      </c>
      <c r="F42" s="23"/>
    </row>
    <row r="43" spans="1:6" ht="15" customHeight="1" x14ac:dyDescent="0.2">
      <c r="A43" s="23"/>
      <c r="B43" s="29"/>
      <c r="C43" s="26"/>
      <c r="D43" s="27"/>
      <c r="E43" s="28" t="str">
        <f t="shared" si="0"/>
        <v/>
      </c>
      <c r="F43" s="23"/>
    </row>
    <row r="44" spans="1:6" ht="15" customHeight="1" x14ac:dyDescent="0.2">
      <c r="A44" s="23"/>
      <c r="B44" s="29"/>
      <c r="C44" s="26"/>
      <c r="D44" s="27"/>
      <c r="E44" s="28" t="str">
        <f t="shared" si="0"/>
        <v/>
      </c>
      <c r="F44" s="23"/>
    </row>
    <row r="45" spans="1:6" ht="15" customHeight="1" x14ac:dyDescent="0.2">
      <c r="A45" s="23"/>
      <c r="B45" s="29"/>
      <c r="C45" s="26"/>
      <c r="D45" s="27"/>
      <c r="E45" s="28" t="str">
        <f t="shared" si="0"/>
        <v/>
      </c>
      <c r="F45" s="23"/>
    </row>
    <row r="46" spans="1:6" ht="15" customHeight="1" x14ac:dyDescent="0.2">
      <c r="A46" s="23"/>
      <c r="B46" s="29"/>
      <c r="C46" s="26"/>
      <c r="D46" s="27"/>
      <c r="E46" s="28" t="str">
        <f t="shared" si="0"/>
        <v/>
      </c>
      <c r="F46" s="23"/>
    </row>
    <row r="47" spans="1:6" ht="15" customHeight="1" x14ac:dyDescent="0.2">
      <c r="A47" s="23"/>
      <c r="B47" s="29"/>
      <c r="C47" s="26"/>
      <c r="D47" s="27"/>
      <c r="E47" s="28" t="str">
        <f t="shared" si="0"/>
        <v/>
      </c>
      <c r="F47" s="23"/>
    </row>
    <row r="48" spans="1:6" ht="15" customHeight="1" x14ac:dyDescent="0.2">
      <c r="A48" s="23"/>
      <c r="B48" s="29"/>
      <c r="C48" s="26"/>
      <c r="D48" s="27"/>
      <c r="E48" s="28" t="str">
        <f t="shared" si="0"/>
        <v/>
      </c>
      <c r="F48" s="23"/>
    </row>
    <row r="49" spans="1:6" ht="15" customHeight="1" x14ac:dyDescent="0.2">
      <c r="A49" s="23"/>
      <c r="B49" s="29"/>
      <c r="C49" s="26"/>
      <c r="D49" s="27"/>
      <c r="E49" s="28" t="str">
        <f t="shared" si="0"/>
        <v/>
      </c>
      <c r="F49" s="23"/>
    </row>
    <row r="50" spans="1:6" ht="15" customHeight="1" x14ac:dyDescent="0.2">
      <c r="A50" s="23"/>
      <c r="B50" s="29"/>
      <c r="C50" s="26"/>
      <c r="D50" s="27"/>
      <c r="E50" s="28" t="str">
        <f t="shared" si="0"/>
        <v/>
      </c>
      <c r="F50" s="23"/>
    </row>
    <row r="51" spans="1:6" ht="15" customHeight="1" x14ac:dyDescent="0.2">
      <c r="A51" s="23"/>
      <c r="B51" s="29"/>
      <c r="C51" s="26"/>
      <c r="D51" s="27"/>
      <c r="E51" s="28" t="str">
        <f t="shared" si="0"/>
        <v/>
      </c>
      <c r="F51" s="23"/>
    </row>
    <row r="52" spans="1:6" ht="15" customHeight="1" x14ac:dyDescent="0.2">
      <c r="A52" s="23"/>
      <c r="B52" s="29"/>
      <c r="C52" s="26"/>
      <c r="D52" s="27"/>
      <c r="E52" s="28" t="str">
        <f t="shared" si="0"/>
        <v/>
      </c>
      <c r="F52" s="23"/>
    </row>
    <row r="53" spans="1:6" ht="15" customHeight="1" x14ac:dyDescent="0.2">
      <c r="A53" s="23"/>
      <c r="B53" s="29"/>
      <c r="C53" s="26"/>
      <c r="D53" s="27"/>
      <c r="E53" s="28" t="str">
        <f t="shared" si="0"/>
        <v/>
      </c>
      <c r="F53" s="23"/>
    </row>
    <row r="54" spans="1:6" ht="15" customHeight="1" x14ac:dyDescent="0.2">
      <c r="A54" s="23"/>
      <c r="B54" s="29"/>
      <c r="C54" s="26"/>
      <c r="D54" s="27"/>
      <c r="E54" s="28" t="str">
        <f t="shared" si="0"/>
        <v/>
      </c>
      <c r="F54" s="23"/>
    </row>
    <row r="55" spans="1:6" ht="15" customHeight="1" x14ac:dyDescent="0.2">
      <c r="A55" s="23"/>
      <c r="B55" s="29"/>
      <c r="C55" s="26"/>
      <c r="D55" s="27"/>
      <c r="E55" s="28" t="str">
        <f t="shared" si="0"/>
        <v/>
      </c>
      <c r="F55" s="23"/>
    </row>
    <row r="56" spans="1:6" ht="15" customHeight="1" x14ac:dyDescent="0.2">
      <c r="A56" s="23"/>
      <c r="B56" s="29"/>
      <c r="C56" s="26"/>
      <c r="D56" s="27"/>
      <c r="E56" s="28" t="str">
        <f t="shared" si="0"/>
        <v/>
      </c>
      <c r="F56" s="23"/>
    </row>
    <row r="57" spans="1:6" ht="15" customHeight="1" x14ac:dyDescent="0.2">
      <c r="A57" s="23"/>
      <c r="B57" s="29"/>
      <c r="C57" s="26"/>
      <c r="D57" s="27"/>
      <c r="E57" s="28" t="str">
        <f t="shared" si="0"/>
        <v/>
      </c>
      <c r="F57" s="23"/>
    </row>
    <row r="58" spans="1:6" ht="15" customHeight="1" x14ac:dyDescent="0.2">
      <c r="A58" s="23"/>
      <c r="B58" s="29"/>
      <c r="C58" s="26"/>
      <c r="D58" s="27"/>
      <c r="E58" s="28" t="str">
        <f t="shared" si="0"/>
        <v/>
      </c>
      <c r="F58" s="23"/>
    </row>
    <row r="59" spans="1:6" ht="15" customHeight="1" x14ac:dyDescent="0.2">
      <c r="A59" s="23"/>
      <c r="B59" s="29"/>
      <c r="C59" s="26"/>
      <c r="D59" s="27"/>
      <c r="E59" s="28" t="str">
        <f t="shared" si="0"/>
        <v/>
      </c>
      <c r="F59" s="23"/>
    </row>
    <row r="60" spans="1:6" ht="15" customHeight="1" x14ac:dyDescent="0.2">
      <c r="A60" s="23"/>
      <c r="B60" s="29"/>
      <c r="C60" s="26"/>
      <c r="D60" s="27"/>
      <c r="E60" s="28" t="str">
        <f t="shared" si="0"/>
        <v/>
      </c>
      <c r="F60" s="23"/>
    </row>
    <row r="61" spans="1:6" ht="15" customHeight="1" x14ac:dyDescent="0.2">
      <c r="A61" s="24"/>
      <c r="B61" s="30"/>
      <c r="C61" s="31"/>
      <c r="D61" s="32"/>
      <c r="E61" s="33" t="str">
        <f t="shared" si="0"/>
        <v/>
      </c>
      <c r="F61" s="24"/>
    </row>
    <row r="62" spans="1:6" ht="15" customHeight="1" x14ac:dyDescent="0.2">
      <c r="B62" s="48"/>
      <c r="C62" s="21"/>
      <c r="D62" s="22"/>
      <c r="E62" s="22"/>
    </row>
    <row r="63" spans="1:6" ht="15" customHeight="1" x14ac:dyDescent="0.2">
      <c r="B63" s="48"/>
      <c r="C63" s="21"/>
      <c r="D63" s="22"/>
      <c r="E63" s="22" t="str">
        <f>IF(B63&lt;&gt;0,SUM(E62+(#REF!+D63)),"")</f>
        <v/>
      </c>
    </row>
    <row r="64" spans="1:6" ht="15" customHeight="1" x14ac:dyDescent="0.2">
      <c r="B64" s="48"/>
      <c r="C64" s="21"/>
      <c r="D64" s="22"/>
      <c r="E64" s="22" t="str">
        <f>IF(B64&lt;&gt;0,SUM(E63+(#REF!+D64)),"")</f>
        <v/>
      </c>
    </row>
    <row r="65" spans="2:5" ht="15" customHeight="1" x14ac:dyDescent="0.2">
      <c r="B65" s="48"/>
      <c r="C65" s="21"/>
      <c r="D65" s="22"/>
      <c r="E65" s="22" t="str">
        <f>IF(B65&lt;&gt;0,SUM(E64+(#REF!+D65)),"")</f>
        <v/>
      </c>
    </row>
    <row r="66" spans="2:5" s="11" customFormat="1" ht="15" customHeight="1" x14ac:dyDescent="0.2">
      <c r="B66" s="13"/>
      <c r="D66" s="14"/>
      <c r="E66" s="20" t="str">
        <f>IF(B66&lt;&gt;0,SUM(E65+(#REF!-D66)),"")</f>
        <v/>
      </c>
    </row>
    <row r="67" spans="2:5" s="11" customFormat="1" ht="15" customHeight="1" x14ac:dyDescent="0.2">
      <c r="B67" s="13"/>
      <c r="D67" s="14"/>
      <c r="E67" s="20" t="str">
        <f>IF(B67&lt;&gt;0,SUM(E66+(#REF!-D67)),"")</f>
        <v/>
      </c>
    </row>
    <row r="68" spans="2:5" s="11" customFormat="1" ht="15" customHeight="1" x14ac:dyDescent="0.2">
      <c r="B68" s="13"/>
      <c r="D68" s="14"/>
      <c r="E68" s="20" t="str">
        <f>IF(B68&lt;&gt;0,SUM(E67+(#REF!-D68)),"")</f>
        <v/>
      </c>
    </row>
    <row r="69" spans="2:5" s="11" customFormat="1" ht="15" customHeight="1" x14ac:dyDescent="0.2">
      <c r="B69" s="13"/>
      <c r="D69" s="14"/>
      <c r="E69" s="20" t="str">
        <f>IF(B69&lt;&gt;0,SUM(E68+(#REF!-D69)),"")</f>
        <v/>
      </c>
    </row>
    <row r="70" spans="2:5" s="11" customFormat="1" ht="15" customHeight="1" x14ac:dyDescent="0.2">
      <c r="B70" s="13"/>
      <c r="D70" s="14"/>
      <c r="E70" s="20" t="str">
        <f>IF(B70&lt;&gt;0,SUM(E69+(#REF!-D70)),"")</f>
        <v/>
      </c>
    </row>
    <row r="71" spans="2:5" s="11" customFormat="1" ht="15" customHeight="1" x14ac:dyDescent="0.2">
      <c r="B71" s="13"/>
      <c r="D71" s="14"/>
      <c r="E71" s="20" t="str">
        <f>IF(B71&lt;&gt;0,SUM(E70+(#REF!-D71)),"")</f>
        <v/>
      </c>
    </row>
    <row r="72" spans="2:5" s="11" customFormat="1" ht="15" customHeight="1" x14ac:dyDescent="0.2">
      <c r="B72" s="13"/>
      <c r="D72" s="14"/>
      <c r="E72" s="20" t="str">
        <f>IF(B72&lt;&gt;0,SUM(E71+(#REF!-D72)),"")</f>
        <v/>
      </c>
    </row>
    <row r="73" spans="2:5" s="11" customFormat="1" ht="15" customHeight="1" x14ac:dyDescent="0.2">
      <c r="B73" s="13"/>
      <c r="D73" s="14"/>
      <c r="E73" s="20" t="str">
        <f>IF(B73&lt;&gt;0,SUM(E72+(#REF!-D73)),"")</f>
        <v/>
      </c>
    </row>
    <row r="74" spans="2:5" s="11" customFormat="1" ht="15" customHeight="1" x14ac:dyDescent="0.2">
      <c r="B74" s="13"/>
      <c r="D74" s="14"/>
      <c r="E74" s="20" t="str">
        <f>IF(B74&lt;&gt;0,SUM(E73+(#REF!-D74)),"")</f>
        <v/>
      </c>
    </row>
    <row r="75" spans="2:5" s="11" customFormat="1" ht="15" customHeight="1" x14ac:dyDescent="0.2">
      <c r="B75" s="13"/>
      <c r="D75" s="14"/>
      <c r="E75" s="20" t="str">
        <f>IF(B75&lt;&gt;0,SUM(E74+(#REF!-D75)),"")</f>
        <v/>
      </c>
    </row>
    <row r="76" spans="2:5" s="11" customFormat="1" ht="15" customHeight="1" x14ac:dyDescent="0.2">
      <c r="B76" s="13"/>
      <c r="D76" s="14"/>
      <c r="E76" s="20" t="str">
        <f>IF(B76&lt;&gt;0,SUM(E75+(#REF!-D76)),"")</f>
        <v/>
      </c>
    </row>
    <row r="77" spans="2:5" s="11" customFormat="1" ht="15" customHeight="1" x14ac:dyDescent="0.2">
      <c r="B77" s="13"/>
      <c r="D77" s="14"/>
      <c r="E77" s="20" t="str">
        <f>IF(B77&lt;&gt;0,SUM(E76+(#REF!-D77)),"")</f>
        <v/>
      </c>
    </row>
    <row r="78" spans="2:5" s="11" customFormat="1" ht="15" customHeight="1" x14ac:dyDescent="0.2">
      <c r="B78" s="13"/>
      <c r="D78" s="14"/>
      <c r="E78" s="20" t="str">
        <f>IF(B78&lt;&gt;0,SUM(E77+(#REF!-D78)),"")</f>
        <v/>
      </c>
    </row>
    <row r="79" spans="2:5" s="11" customFormat="1" ht="15" customHeight="1" x14ac:dyDescent="0.2">
      <c r="B79" s="13"/>
      <c r="D79" s="14"/>
      <c r="E79" s="20" t="str">
        <f>IF(B79&lt;&gt;0,SUM(E78+(#REF!-D79)),"")</f>
        <v/>
      </c>
    </row>
    <row r="80" spans="2:5" s="11" customFormat="1" ht="15" customHeight="1" x14ac:dyDescent="0.2">
      <c r="B80" s="13"/>
      <c r="D80" s="14"/>
      <c r="E80" s="20" t="str">
        <f>IF(B80&lt;&gt;0,SUM(E79+(#REF!-D80)),"")</f>
        <v/>
      </c>
    </row>
    <row r="81" spans="2:5" s="11" customFormat="1" ht="15" customHeight="1" x14ac:dyDescent="0.2">
      <c r="B81" s="13"/>
      <c r="D81" s="14"/>
      <c r="E81" s="20" t="str">
        <f>IF(B81&lt;&gt;0,SUM(E80+(#REF!-D81)),"")</f>
        <v/>
      </c>
    </row>
    <row r="82" spans="2:5" s="11" customFormat="1" ht="15" customHeight="1" x14ac:dyDescent="0.2">
      <c r="B82" s="13"/>
      <c r="D82" s="14"/>
      <c r="E82" s="20" t="str">
        <f>IF(B82&lt;&gt;0,SUM(E81+(#REF!-D82)),"")</f>
        <v/>
      </c>
    </row>
    <row r="83" spans="2:5" s="11" customFormat="1" ht="15" customHeight="1" x14ac:dyDescent="0.2">
      <c r="B83" s="13"/>
      <c r="D83" s="14"/>
      <c r="E83" s="20" t="str">
        <f>IF(B83&lt;&gt;0,SUM(E82+(#REF!-D83)),"")</f>
        <v/>
      </c>
    </row>
    <row r="84" spans="2:5" s="11" customFormat="1" ht="15" customHeight="1" x14ac:dyDescent="0.2">
      <c r="B84" s="13"/>
      <c r="D84" s="14"/>
      <c r="E84" s="20" t="str">
        <f>IF(B84&lt;&gt;0,SUM(E83+(#REF!-D84)),"")</f>
        <v/>
      </c>
    </row>
    <row r="85" spans="2:5" s="11" customFormat="1" ht="15" customHeight="1" x14ac:dyDescent="0.2">
      <c r="B85" s="13"/>
      <c r="D85" s="14"/>
      <c r="E85" s="20" t="str">
        <f>IF(B85&lt;&gt;0,SUM(E84+(#REF!-D85)),"")</f>
        <v/>
      </c>
    </row>
    <row r="86" spans="2:5" s="11" customFormat="1" ht="15" customHeight="1" x14ac:dyDescent="0.2">
      <c r="B86" s="13"/>
      <c r="D86" s="14"/>
      <c r="E86" s="20" t="str">
        <f>IF(B86&lt;&gt;0,SUM(E85+(#REF!-D86)),"")</f>
        <v/>
      </c>
    </row>
    <row r="87" spans="2:5" s="11" customFormat="1" ht="15" customHeight="1" x14ac:dyDescent="0.2">
      <c r="B87" s="13"/>
      <c r="D87" s="14"/>
      <c r="E87" s="20" t="str">
        <f>IF(B87&lt;&gt;0,SUM(E86+(#REF!-D87)),"")</f>
        <v/>
      </c>
    </row>
    <row r="88" spans="2:5" s="11" customFormat="1" ht="15" customHeight="1" x14ac:dyDescent="0.2">
      <c r="B88" s="13"/>
      <c r="D88" s="14"/>
      <c r="E88" s="20" t="str">
        <f>IF(B88&lt;&gt;0,SUM(E87+(#REF!-D88)),"")</f>
        <v/>
      </c>
    </row>
    <row r="89" spans="2:5" s="11" customFormat="1" ht="15" customHeight="1" x14ac:dyDescent="0.2">
      <c r="B89" s="13"/>
      <c r="D89" s="14"/>
      <c r="E89" s="20" t="str">
        <f>IF(B89&lt;&gt;0,SUM(E88+(#REF!-D89)),"")</f>
        <v/>
      </c>
    </row>
    <row r="90" spans="2:5" s="11" customFormat="1" ht="15" customHeight="1" x14ac:dyDescent="0.2">
      <c r="B90" s="13"/>
      <c r="D90" s="14"/>
      <c r="E90" s="20" t="str">
        <f>IF(B90&lt;&gt;0,SUM(E89+(#REF!-D90)),"")</f>
        <v/>
      </c>
    </row>
    <row r="91" spans="2:5" s="11" customFormat="1" ht="15" customHeight="1" x14ac:dyDescent="0.2">
      <c r="B91" s="13"/>
      <c r="D91" s="14"/>
      <c r="E91" s="20" t="str">
        <f>IF(B91&lt;&gt;0,SUM(E90+(#REF!-D91)),"")</f>
        <v/>
      </c>
    </row>
    <row r="92" spans="2:5" s="11" customFormat="1" ht="15" customHeight="1" x14ac:dyDescent="0.2">
      <c r="B92" s="13"/>
      <c r="D92" s="14"/>
      <c r="E92" s="20" t="str">
        <f>IF(B92&lt;&gt;0,SUM(E91+(#REF!-D92)),"")</f>
        <v/>
      </c>
    </row>
    <row r="93" spans="2:5" s="11" customFormat="1" ht="15" customHeight="1" x14ac:dyDescent="0.2">
      <c r="B93" s="13"/>
      <c r="D93" s="14"/>
      <c r="E93" s="20" t="str">
        <f>IF(B93&lt;&gt;0,SUM(E92+(#REF!-D93)),"")</f>
        <v/>
      </c>
    </row>
    <row r="94" spans="2:5" s="11" customFormat="1" ht="15" customHeight="1" x14ac:dyDescent="0.2">
      <c r="B94" s="13"/>
      <c r="D94" s="14"/>
      <c r="E94" s="20" t="str">
        <f>IF(B94&lt;&gt;0,SUM(E93+(#REF!-D94)),"")</f>
        <v/>
      </c>
    </row>
    <row r="95" spans="2:5" s="11" customFormat="1" ht="15" customHeight="1" x14ac:dyDescent="0.2">
      <c r="B95" s="13"/>
      <c r="D95" s="14"/>
      <c r="E95" s="20" t="str">
        <f>IF(B95&lt;&gt;0,SUM(E94+(#REF!-D95)),"")</f>
        <v/>
      </c>
    </row>
    <row r="96" spans="2:5" s="11" customFormat="1" ht="15" customHeight="1" x14ac:dyDescent="0.2">
      <c r="B96" s="13"/>
      <c r="D96" s="14"/>
      <c r="E96" s="20" t="str">
        <f>IF(B96&lt;&gt;0,SUM(E95+(#REF!-D96)),"")</f>
        <v/>
      </c>
    </row>
    <row r="97" spans="2:5" s="11" customFormat="1" ht="15" customHeight="1" x14ac:dyDescent="0.2">
      <c r="B97" s="13"/>
      <c r="D97" s="14"/>
      <c r="E97" s="20" t="str">
        <f>IF(B97&lt;&gt;0,SUM(E96+(#REF!-D97)),"")</f>
        <v/>
      </c>
    </row>
    <row r="98" spans="2:5" s="11" customFormat="1" ht="15" customHeight="1" x14ac:dyDescent="0.2">
      <c r="B98" s="13"/>
      <c r="D98" s="14"/>
      <c r="E98" s="20" t="str">
        <f>IF(B98&lt;&gt;0,SUM(E97+(#REF!-D98)),"")</f>
        <v/>
      </c>
    </row>
    <row r="99" spans="2:5" s="11" customFormat="1" ht="15" customHeight="1" x14ac:dyDescent="0.2">
      <c r="B99" s="13"/>
      <c r="D99" s="14"/>
      <c r="E99" s="20" t="str">
        <f>IF(B99&lt;&gt;0,SUM(E98+(#REF!-D99)),"")</f>
        <v/>
      </c>
    </row>
    <row r="100" spans="2:5" s="11" customFormat="1" ht="15" customHeight="1" x14ac:dyDescent="0.2">
      <c r="B100" s="13"/>
      <c r="D100" s="14"/>
      <c r="E100" s="20" t="str">
        <f>IF(B100&lt;&gt;0,SUM(E99+(#REF!-D100)),"")</f>
        <v/>
      </c>
    </row>
    <row r="101" spans="2:5" s="11" customFormat="1" ht="15" customHeight="1" x14ac:dyDescent="0.2">
      <c r="B101" s="13"/>
      <c r="D101" s="14"/>
      <c r="E101" s="20" t="str">
        <f>IF(B101&lt;&gt;0,SUM(E100+(#REF!-D101)),"")</f>
        <v/>
      </c>
    </row>
    <row r="102" spans="2:5" s="11" customFormat="1" ht="15" customHeight="1" x14ac:dyDescent="0.2">
      <c r="B102" s="13"/>
      <c r="D102" s="14"/>
      <c r="E102" s="20" t="str">
        <f>IF(B102&lt;&gt;0,SUM(E101+(#REF!-D102)),"")</f>
        <v/>
      </c>
    </row>
    <row r="103" spans="2:5" s="11" customFormat="1" ht="15" customHeight="1" x14ac:dyDescent="0.2">
      <c r="B103" s="13"/>
      <c r="D103" s="14"/>
      <c r="E103" s="20" t="str">
        <f>IF(B103&lt;&gt;0,SUM(E102+(#REF!-D103)),"")</f>
        <v/>
      </c>
    </row>
    <row r="104" spans="2:5" s="11" customFormat="1" ht="15" customHeight="1" x14ac:dyDescent="0.2">
      <c r="B104" s="13"/>
      <c r="D104" s="14"/>
      <c r="E104" s="20" t="str">
        <f>IF(B104&lt;&gt;0,SUM(E103+(#REF!-D104)),"")</f>
        <v/>
      </c>
    </row>
    <row r="105" spans="2:5" s="11" customFormat="1" ht="15" customHeight="1" x14ac:dyDescent="0.2">
      <c r="B105" s="13"/>
      <c r="D105" s="14"/>
      <c r="E105" s="20" t="str">
        <f>IF(B105&lt;&gt;0,SUM(E104+(#REF!-D105)),"")</f>
        <v/>
      </c>
    </row>
    <row r="106" spans="2:5" s="11" customFormat="1" ht="15" customHeight="1" x14ac:dyDescent="0.2">
      <c r="B106" s="13"/>
      <c r="D106" s="14"/>
      <c r="E106" s="20" t="str">
        <f>IF(B106&lt;&gt;0,SUM(E105+(#REF!-D106)),"")</f>
        <v/>
      </c>
    </row>
    <row r="107" spans="2:5" s="11" customFormat="1" ht="15" customHeight="1" x14ac:dyDescent="0.2">
      <c r="B107" s="13"/>
      <c r="D107" s="14"/>
      <c r="E107" s="20" t="str">
        <f>IF(B107&lt;&gt;0,SUM(E106+(#REF!-D107)),"")</f>
        <v/>
      </c>
    </row>
    <row r="108" spans="2:5" s="11" customFormat="1" ht="15" customHeight="1" x14ac:dyDescent="0.2">
      <c r="B108" s="13"/>
      <c r="D108" s="14"/>
      <c r="E108" s="20" t="str">
        <f>IF(B108&lt;&gt;0,SUM(E107+(#REF!-D108)),"")</f>
        <v/>
      </c>
    </row>
    <row r="109" spans="2:5" s="11" customFormat="1" ht="15" customHeight="1" x14ac:dyDescent="0.2">
      <c r="B109" s="13"/>
      <c r="D109" s="14"/>
      <c r="E109" s="20" t="str">
        <f>IF(B109&lt;&gt;0,SUM(E108+(#REF!-D109)),"")</f>
        <v/>
      </c>
    </row>
    <row r="110" spans="2:5" s="11" customFormat="1" ht="15" customHeight="1" x14ac:dyDescent="0.2">
      <c r="B110" s="13"/>
      <c r="D110" s="14"/>
      <c r="E110" s="20" t="str">
        <f>IF(B110&lt;&gt;0,SUM(E109+(#REF!-D110)),"")</f>
        <v/>
      </c>
    </row>
    <row r="111" spans="2:5" s="11" customFormat="1" ht="15" customHeight="1" x14ac:dyDescent="0.2">
      <c r="B111" s="13"/>
      <c r="D111" s="14"/>
      <c r="E111" s="20" t="str">
        <f>IF(B111&lt;&gt;0,SUM(E110+(#REF!-D111)),"")</f>
        <v/>
      </c>
    </row>
    <row r="112" spans="2:5" s="11" customFormat="1" ht="15" customHeight="1" x14ac:dyDescent="0.2">
      <c r="B112" s="13"/>
      <c r="D112" s="14"/>
      <c r="E112" s="20" t="str">
        <f>IF(B112&lt;&gt;0,SUM(E111+(#REF!-D112)),"")</f>
        <v/>
      </c>
    </row>
    <row r="113" spans="2:5" s="11" customFormat="1" ht="15" customHeight="1" x14ac:dyDescent="0.2">
      <c r="B113" s="13"/>
      <c r="D113" s="14"/>
      <c r="E113" s="20" t="str">
        <f>IF(B113&lt;&gt;0,SUM(E112+(#REF!-D113)),"")</f>
        <v/>
      </c>
    </row>
    <row r="114" spans="2:5" s="11" customFormat="1" ht="15" customHeight="1" x14ac:dyDescent="0.2">
      <c r="B114" s="13"/>
      <c r="D114" s="14"/>
      <c r="E114" s="20" t="str">
        <f>IF(B114&lt;&gt;0,SUM(E113+(#REF!-D114)),"")</f>
        <v/>
      </c>
    </row>
  </sheetData>
  <sheetProtection sheet="1" objects="1" scenarios="1"/>
  <mergeCells count="5">
    <mergeCell ref="D2:E2"/>
    <mergeCell ref="D10:E10"/>
    <mergeCell ref="D12:E12"/>
    <mergeCell ref="D14:E14"/>
    <mergeCell ref="D4:E8"/>
  </mergeCells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ayNow">
                <anchor moveWithCells="1">
                  <from>
                    <xdr:col>1</xdr:col>
                    <xdr:colOff>0</xdr:colOff>
                    <xdr:row>4</xdr:row>
                    <xdr:rowOff>133350</xdr:rowOff>
                  </from>
                  <to>
                    <xdr:col>2</xdr:col>
                    <xdr:colOff>57150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GoHome">
                <anchor moveWithCells="1">
                  <from>
                    <xdr:col>1</xdr:col>
                    <xdr:colOff>371475</xdr:colOff>
                    <xdr:row>3</xdr:row>
                    <xdr:rowOff>0</xdr:rowOff>
                  </from>
                  <to>
                    <xdr:col>1</xdr:col>
                    <xdr:colOff>733425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GoPrev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361950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GoNext">
                <anchor moveWithCells="1">
                  <from>
                    <xdr:col>1</xdr:col>
                    <xdr:colOff>742950</xdr:colOff>
                    <xdr:row>3</xdr:row>
                    <xdr:rowOff>0</xdr:rowOff>
                  </from>
                  <to>
                    <xdr:col>2</xdr:col>
                    <xdr:colOff>57150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Overview</vt:lpstr>
      <vt:lpstr>Prototype</vt:lpstr>
      <vt:lpstr>Prototype!Druckbereich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Freedom Account for Excel</dc:title>
  <dc:creator>Ludger A. Rinsche</dc:creator>
  <cp:lastModifiedBy>Ludger A. Rinsche</cp:lastModifiedBy>
  <dcterms:created xsi:type="dcterms:W3CDTF">2002-06-14T17:04:24Z</dcterms:created>
  <dcterms:modified xsi:type="dcterms:W3CDTF">2015-02-24T11:06:29Z</dcterms:modified>
</cp:coreProperties>
</file>